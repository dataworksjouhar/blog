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ummary" sheetId="2" state="visible" r:id="rId4"/>
    <sheet name="Plan" sheetId="3" state="visible" r:id="rId5"/>
    <sheet name="Settings" sheetId="4" state="visible" r:id="rId6"/>
    <sheet name="Opening Stock" sheetId="5" state="visible" r:id="rId7"/>
    <sheet name="Sales" sheetId="6" state="visible" r:id="rId8"/>
    <sheet name="Orders" sheetId="7" state="visible" r:id="rId9"/>
    <sheet name="Calcul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Formula: order month + lead time from Settings.</t>
        </r>
      </text>
    </comment>
    <comment ref="G1" authorId="0">
      <text>
        <r>
          <rPr>
            <sz val="10"/>
            <rFont val="Arial"/>
            <family val="2"/>
          </rPr>
          <t xml:space="preserve">Fill in when the real arrival month is known. Overrides Planned arrival.</t>
        </r>
      </text>
    </comment>
  </commentList>
</comments>
</file>

<file path=xl/sharedStrings.xml><?xml version="1.0" encoding="utf-8"?>
<sst xmlns="http://schemas.openxmlformats.org/spreadsheetml/2006/main" count="777" uniqueCount="124">
  <si>
    <t xml:space="preserve">Vehicle Demand Planning Model (dummy data)</t>
  </si>
  <si>
    <t xml:space="preserve">All figures in this file are invented for demonstration. They are not Alghanim Motors data.</t>
  </si>
  <si>
    <t xml:space="preserve">How to use</t>
  </si>
  <si>
    <t xml:space="preserve">1. Blue text = values you type. Black text = formulas, do not edit.</t>
  </si>
  <si>
    <t xml:space="preserve">2. Each sheet is one table. One row = one fact. Add rows at the bottom of a table to extend it.</t>
  </si>
  <si>
    <t xml:space="preserve">3. Do not type arrivals anywhere. Arrivals are calculated from the Orders sheet.</t>
  </si>
  <si>
    <t xml:space="preserve">Sheets</t>
  </si>
  <si>
    <t xml:space="preserve">Settings: one row per trim. Target stock cover (months) and standard lead time (months).</t>
  </si>
  <si>
    <t xml:space="preserve">Opening Stock: stock on hand per trim at the start of the plan (start of Nov-2026).</t>
  </si>
  <si>
    <t xml:space="preserve">Sales: units per trim per month. Type = Actual for completed months, Forecast for future months.</t>
  </si>
  <si>
    <t xml:space="preserve">    Forecast runs to Jan-2028 so the 3-month forward cover can be calculated for the last plan month (Oct-2027).</t>
  </si>
  <si>
    <t xml:space="preserve">Orders: every order already placed. Planned arrival = order month + standard lead time (formula).</t>
  </si>
  <si>
    <t xml:space="preserve">    Confirmed arrival: fill in when the real arrival month is known. It overrides the planned month.</t>
  </si>
  <si>
    <t xml:space="preserve">    Short shipment: split the order into two rows with the same Order ID (e.g. 80 now, 20 later).</t>
  </si>
  <si>
    <t xml:space="preserve">Summary: the order to place this month for every trim, a status, a 12-month stock cover heatmap, and one sentence explaining each order.</t>
  </si>
  <si>
    <t xml:space="preserve">Plan: the same five rows your team already uses, per trim: Order, Arrival, Sales, Closing stock, Stock cover. Green = suggested by the tool.</t>
  </si>
  <si>
    <t xml:space="preserve">Calculation: the working behind the Plan sheet (averages, target stock, suggested arrivals). Formulas only, kept separate so the Plan stays simple.</t>
  </si>
  <si>
    <t xml:space="preserve">Rules for entering data</t>
  </si>
  <si>
    <t xml:space="preserve">Sales: keep one Forecast row per trim per month. When the month closes, add an Actual row. The Actual replaces the Forecast automatically.</t>
  </si>
  <si>
    <t xml:space="preserve">Orders: never type arrivals. Fill Confirmed arrival when known. For a short shipment, split the row.</t>
  </si>
  <si>
    <t xml:space="preserve">Excel version limit: the Plan and Calculation sheets have one block per trim in Settings (8 here). A new trim needs a new block. The browser tool has no such limit.</t>
  </si>
  <si>
    <t xml:space="preserve">The logic in three sentences</t>
  </si>
  <si>
    <t xml:space="preserve">1. When stock is on target, order what you will sell.</t>
  </si>
  <si>
    <t xml:space="preserve">2. If you are short, order a bit extra. If you have too much, order less.</t>
  </si>
  <si>
    <t xml:space="preserve">3. Because orders take 3 months to arrive, every order is for the month 3 months away.</t>
  </si>
  <si>
    <t xml:space="preserve">Definitions used</t>
  </si>
  <si>
    <t xml:space="preserve">Closing stock = opening stock + arrivals - sales.</t>
  </si>
  <si>
    <t xml:space="preserve">Stock cover (months) = closing stock / average forecast sales of the next 3 months.</t>
  </si>
  <si>
    <t xml:space="preserve">Target stock = target cover x average forecast sales of the next 3 months (enough cars for the months ahead).</t>
  </si>
  <si>
    <t xml:space="preserve">Order now = what the first reachable month sells + what it is short of target stock (less if it has extra, never below 0).</t>
  </si>
  <si>
    <t xml:space="preserve">Arrivals in the first 3 months are fixed by earlier orders. A new order cannot reach them, so they are shown in grey.</t>
  </si>
  <si>
    <t xml:space="preserve">Effective arrival month = Confirmed arrival if filled, otherwise Planned arrival.</t>
  </si>
  <si>
    <t xml:space="preserve">Scenarios built into the dummy data</t>
  </si>
  <si>
    <t xml:space="preserve">Territory Trend: high opening stock (overstock case).</t>
  </si>
  <si>
    <t xml:space="preserve">Territory Titanium: fleet deal of +40 units in the Apr-2027 forecast.</t>
  </si>
  <si>
    <t xml:space="preserve">Bronco Badlands: low opening stock, and the Aug-2026 order was short-shipped (10 in Nov, 5 in Jan).</t>
  </si>
  <si>
    <t xml:space="preserve">Bronco Wildtrak: Sep-2026 order delayed from Dec-2026 to Mar-2027.</t>
  </si>
  <si>
    <t xml:space="preserve">Territory Trend: Oct-2026 order arriving early (Dec-2026 instead of Jan-2027).</t>
  </si>
  <si>
    <t xml:space="preserve">Summary - orders to place and stock cover</t>
  </si>
  <si>
    <t xml:space="preserve">Cover colours: red = below target, green = on target (up to +1 month), amber = more than 1 month above target. The first 3 months are frozen: orders placed now cannot arrive before then.</t>
  </si>
  <si>
    <t xml:space="preserve">Stock cover (months) by month</t>
  </si>
  <si>
    <t xml:space="preserve">Car line</t>
  </si>
  <si>
    <t xml:space="preserve">Trim</t>
  </si>
  <si>
    <t xml:space="preserve">Target</t>
  </si>
  <si>
    <t xml:space="preserve">Lowest cover before new orders land</t>
  </si>
  <si>
    <t xml:space="preserve">Cover when first new order lands</t>
  </si>
  <si>
    <t xml:space="preserve">Status</t>
  </si>
  <si>
    <t xml:space="preserve">Why these orders</t>
  </si>
  <si>
    <t xml:space="preserve">Order now = what the first reachable month sells + what it is short of target stock (less if it has extra).</t>
  </si>
  <si>
    <t xml:space="preserve">Demand Plan</t>
  </si>
  <si>
    <t xml:space="preserve">Green = suggested by the tool. Grey arrivals = already fixed by earlier orders. Stock cover: red below target, green on target, amber more than 1 month above.</t>
  </si>
  <si>
    <t xml:space="preserve">Month no.</t>
  </si>
  <si>
    <t xml:space="preserve">Month</t>
  </si>
  <si>
    <t xml:space="preserve">Target:</t>
  </si>
  <si>
    <t xml:space="preserve">Lead:</t>
  </si>
  <si>
    <t xml:space="preserve">Order</t>
  </si>
  <si>
    <t xml:space="preserve">Arrival</t>
  </si>
  <si>
    <t xml:space="preserve">Sales</t>
  </si>
  <si>
    <t xml:space="preserve">Closing stock</t>
  </si>
  <si>
    <t xml:space="preserve">Stock cover (months)</t>
  </si>
  <si>
    <t xml:space="preserve">Target cover (months)</t>
  </si>
  <si>
    <t xml:space="preserve">Lead time (months)</t>
  </si>
  <si>
    <t xml:space="preserve">Territory</t>
  </si>
  <si>
    <t xml:space="preserve">Ambiente</t>
  </si>
  <si>
    <t xml:space="preserve">Trend</t>
  </si>
  <si>
    <t xml:space="preserve">Titanium</t>
  </si>
  <si>
    <t xml:space="preserve">Bronco</t>
  </si>
  <si>
    <t xml:space="preserve">Big Bend 2-door</t>
  </si>
  <si>
    <t xml:space="preserve">Big Bend 4-door</t>
  </si>
  <si>
    <t xml:space="preserve">Outer Banks</t>
  </si>
  <si>
    <t xml:space="preserve">Badlands</t>
  </si>
  <si>
    <t xml:space="preserve">Wildtrak</t>
  </si>
  <si>
    <t xml:space="preserve">Stock</t>
  </si>
  <si>
    <t xml:space="preserve">Units</t>
  </si>
  <si>
    <t xml:space="preserve">Type</t>
  </si>
  <si>
    <t xml:space="preserve">Note</t>
  </si>
  <si>
    <t xml:space="preserve">Actual</t>
  </si>
  <si>
    <t xml:space="preserve">Forecast</t>
  </si>
  <si>
    <t xml:space="preserve">Fleet deal +40</t>
  </si>
  <si>
    <t xml:space="preserve">Order ID</t>
  </si>
  <si>
    <t xml:space="preserve">Order month</t>
  </si>
  <si>
    <t xml:space="preserve">Planned arrival</t>
  </si>
  <si>
    <t xml:space="preserve">Confirmed arrival</t>
  </si>
  <si>
    <t xml:space="preserve">Effective arrival</t>
  </si>
  <si>
    <t xml:space="preserve">T-101</t>
  </si>
  <si>
    <t xml:space="preserve">T-102</t>
  </si>
  <si>
    <t xml:space="preserve">T-103</t>
  </si>
  <si>
    <t xml:space="preserve">T-104</t>
  </si>
  <si>
    <t xml:space="preserve">T-105</t>
  </si>
  <si>
    <t xml:space="preserve">T-106</t>
  </si>
  <si>
    <t xml:space="preserve">Arriving early</t>
  </si>
  <si>
    <t xml:space="preserve">T-107</t>
  </si>
  <si>
    <t xml:space="preserve">T-108</t>
  </si>
  <si>
    <t xml:space="preserve">T-109</t>
  </si>
  <si>
    <t xml:space="preserve">B-110</t>
  </si>
  <si>
    <t xml:space="preserve">B-111</t>
  </si>
  <si>
    <t xml:space="preserve">B-112</t>
  </si>
  <si>
    <t xml:space="preserve">B-113</t>
  </si>
  <si>
    <t xml:space="preserve">B-114</t>
  </si>
  <si>
    <t xml:space="preserve">B-115</t>
  </si>
  <si>
    <t xml:space="preserve">B-116</t>
  </si>
  <si>
    <t xml:space="preserve">B-117</t>
  </si>
  <si>
    <t xml:space="preserve">B-118</t>
  </si>
  <si>
    <t xml:space="preserve">B-119</t>
  </si>
  <si>
    <t xml:space="preserve">Short shipment: 10 of 15 in Nov</t>
  </si>
  <si>
    <t xml:space="preserve">Short shipment: balance 5 in Jan</t>
  </si>
  <si>
    <t xml:space="preserve">B-120</t>
  </si>
  <si>
    <t xml:space="preserve">B-121</t>
  </si>
  <si>
    <t xml:space="preserve">B-122</t>
  </si>
  <si>
    <t xml:space="preserve">B-123</t>
  </si>
  <si>
    <t xml:space="preserve">Delayed from Dec to Mar</t>
  </si>
  <si>
    <t xml:space="preserve">B-124</t>
  </si>
  <si>
    <t xml:space="preserve">Calculation - the working behind the Plan sheet (formulas only)</t>
  </si>
  <si>
    <t xml:space="preserve">Plan start</t>
  </si>
  <si>
    <t xml:space="preserve">Sales only, used for cover</t>
  </si>
  <si>
    <t xml:space="preserve">Lead</t>
  </si>
  <si>
    <t xml:space="preserve">Opening stock</t>
  </si>
  <si>
    <t xml:space="preserve">Arrivals (orders already placed)</t>
  </si>
  <si>
    <t xml:space="preserve">Proposed arrivals (new orders)</t>
  </si>
  <si>
    <t xml:space="preserve">Sales (actual, else forecast)</t>
  </si>
  <si>
    <t xml:space="preserve">Avg sales, next 3 months</t>
  </si>
  <si>
    <t xml:space="preserve">Target closing stock</t>
  </si>
  <si>
    <t xml:space="preserve">Proposed order (place this month)</t>
  </si>
  <si>
    <t xml:space="preserve">Orders placed this month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</si>
</sst>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-yy"/>
    <numFmt numFmtId="166" formatCode="#,##0;\-#,##0;0"/>
    <numFmt numFmtId="167" formatCode="0.0"/>
    <numFmt numFmtId="168" formatCode="0&quot; months&quot;"/>
    <numFmt numFmtId="169" formatCode="mmm\-yyyy"/>
    <numFmt numFmtId="170" formatCode="#,##0;\-#,##0;\-"/>
    <numFmt numFmtId="171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1F3864"/>
      <name val="Arial"/>
      <family val="0"/>
      <charset val="1"/>
    </font>
    <font>
      <sz val="8"/>
      <color rgb="FF808080"/>
      <name val="Arial"/>
      <family val="0"/>
      <charset val="1"/>
    </font>
    <font>
      <sz val="11"/>
      <color rgb="FF595959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8EA9DB"/>
        <bgColor rgb="FFA6A6A6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tted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color rgb="FF808080"/>
      </font>
      <fill>
        <patternFill>
          <bgColor rgb="FFEDEDE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8EA9DB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Opening" displayName="tblOpening" ref="A1:D9" headerRowCount="1" totalsRowCount="0" totalsRowShown="0">
  <autoFilter ref="A1:D9"/>
  <tableColumns count="4">
    <tableColumn id="1" name="Car line"/>
    <tableColumn id="2" name="Trim"/>
    <tableColumn id="3" name="Month"/>
    <tableColumn id="4" name="Stock"/>
  </tableColumns>
</table>
</file>

<file path=xl/tables/table2.xml><?xml version="1.0" encoding="utf-8"?>
<table xmlns="http://schemas.openxmlformats.org/spreadsheetml/2006/main" id="2" name="tblOrders" displayName="tblOrders" ref="A1:I26" headerRowCount="1" totalsRowCount="0" totalsRowShown="0">
  <autoFilter ref="A1:I26"/>
  <tableColumns count="9">
    <tableColumn id="1" name="Order ID"/>
    <tableColumn id="2" name="Car line"/>
    <tableColumn id="3" name="Trim"/>
    <tableColumn id="4" name="Order month"/>
    <tableColumn id="5" name="Units"/>
    <tableColumn id="6" name="Planned arrival"/>
    <tableColumn id="7" name="Confirmed arrival"/>
    <tableColumn id="8" name="Effective arrival"/>
    <tableColumn id="9" name="Note"/>
  </tableColumns>
</table>
</file>

<file path=xl/tables/table3.xml><?xml version="1.0" encoding="utf-8"?>
<table xmlns="http://schemas.openxmlformats.org/spreadsheetml/2006/main" id="3" name="tblSales" displayName="tblSales" ref="A1:F145" headerRowCount="1" totalsRowCount="0" totalsRowShown="0">
  <autoFilter ref="A1:F145"/>
  <tableColumns count="6">
    <tableColumn id="1" name="Car line"/>
    <tableColumn id="2" name="Trim"/>
    <tableColumn id="3" name="Month"/>
    <tableColumn id="4" name="Units"/>
    <tableColumn id="5" name="Type"/>
    <tableColumn id="6" name="Note"/>
  </tableColumns>
</table>
</file>

<file path=xl/tables/table4.xml><?xml version="1.0" encoding="utf-8"?>
<table xmlns="http://schemas.openxmlformats.org/spreadsheetml/2006/main" id="4" name="tblSettings" displayName="tblSettings" ref="A1:D9" headerRowCount="1" totalsRowCount="0" totalsRowShown="0">
  <autoFilter ref="A1:D9"/>
  <tableColumns count="4">
    <tableColumn id="1" name="Car line"/>
    <tableColumn id="2" name="Trim"/>
    <tableColumn id="3" name="Target cover (months)"/>
    <tableColumn id="4" name="Lead time (month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2" t="s">
        <v>33</v>
      </c>
    </row>
    <row r="42" customFormat="false" ht="15" hidden="false" customHeight="false" outlineLevel="0" collapsed="false">
      <c r="A42" s="2" t="s">
        <v>34</v>
      </c>
    </row>
    <row r="43" customFormat="false" ht="15" hidden="false" customHeight="false" outlineLevel="0" collapsed="false">
      <c r="A43" s="2" t="s">
        <v>35</v>
      </c>
    </row>
    <row r="44" customFormat="false" ht="15" hidden="false" customHeight="false" outlineLevel="0" collapsed="false">
      <c r="A44" s="2" t="s">
        <v>36</v>
      </c>
    </row>
    <row r="45" customFormat="false" ht="15" hidden="false" customHeight="false" outlineLevel="0" collapsed="false">
      <c r="A45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32"/>
    <col collapsed="false" customWidth="true" hidden="false" outlineLevel="0" max="8" min="8" style="0" width="2"/>
    <col collapsed="false" customWidth="true" hidden="false" outlineLevel="0" max="20" min="9" style="0" width="8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4" t="s">
        <v>39</v>
      </c>
    </row>
    <row r="3" customFormat="false" ht="15" hidden="false" customHeight="false" outlineLevel="0" collapsed="false">
      <c r="I3" s="5" t="s">
        <v>40</v>
      </c>
    </row>
    <row r="4" customFormat="false" ht="45" hidden="false" customHeight="true" outlineLevel="0" collapsed="false">
      <c r="A4" s="6" t="s">
        <v>41</v>
      </c>
      <c r="B4" s="6" t="s">
        <v>42</v>
      </c>
      <c r="C4" s="6" t="s">
        <v>43</v>
      </c>
      <c r="D4" s="6" t="str">
        <f aca="false">"Order to place in "&amp;TEXT(Calculation!C4,"mmm-yyyy")</f>
        <v>Order to place in Nov-2026</v>
      </c>
      <c r="E4" s="6" t="s">
        <v>44</v>
      </c>
      <c r="F4" s="6" t="s">
        <v>45</v>
      </c>
      <c r="G4" s="6" t="s">
        <v>46</v>
      </c>
      <c r="I4" s="7" t="n">
        <f aca="false">Calculation!C4</f>
        <v>46327</v>
      </c>
      <c r="J4" s="7" t="n">
        <f aca="false">Calculation!D4</f>
        <v>46357</v>
      </c>
      <c r="K4" s="7" t="n">
        <f aca="false">Calculation!E4</f>
        <v>46388</v>
      </c>
      <c r="L4" s="7" t="n">
        <f aca="false">Calculation!F4</f>
        <v>46419</v>
      </c>
      <c r="M4" s="7" t="n">
        <f aca="false">Calculation!G4</f>
        <v>46447</v>
      </c>
      <c r="N4" s="7" t="n">
        <f aca="false">Calculation!H4</f>
        <v>46478</v>
      </c>
      <c r="O4" s="7" t="n">
        <f aca="false">Calculation!I4</f>
        <v>46508</v>
      </c>
      <c r="P4" s="7" t="n">
        <f aca="false">Calculation!J4</f>
        <v>46539</v>
      </c>
      <c r="Q4" s="7" t="n">
        <f aca="false">Calculation!K4</f>
        <v>46569</v>
      </c>
      <c r="R4" s="7" t="n">
        <f aca="false">Calculation!L4</f>
        <v>46600</v>
      </c>
      <c r="S4" s="7" t="n">
        <f aca="false">Calculation!M4</f>
        <v>46631</v>
      </c>
      <c r="T4" s="7" t="n">
        <f aca="false">Calculation!N4</f>
        <v>46661</v>
      </c>
    </row>
    <row r="5" customFormat="false" ht="15" hidden="false" customHeight="false" outlineLevel="0" collapsed="false">
      <c r="A5" s="8" t="str">
        <f aca="false">INDEX(Settings!$A$2:$A$100,1)</f>
        <v>Territory</v>
      </c>
      <c r="B5" s="8" t="str">
        <f aca="false">Calculation!A6</f>
        <v>Ambiente</v>
      </c>
      <c r="C5" s="8" t="n">
        <f aca="false">Calculation!D6</f>
        <v>3</v>
      </c>
      <c r="D5" s="9" t="n">
        <f aca="false">Calculation!C15</f>
        <v>24</v>
      </c>
      <c r="E5" s="10" t="n">
        <f aca="false">MIN(Calculation!C14:INDEX(Calculation!C14:N14,Calculation!F6))</f>
        <v>2.82352941176471</v>
      </c>
      <c r="F5" s="10" t="n">
        <f aca="false">INDEX(Calculation!C14:N14,Calculation!F6+1)</f>
        <v>3</v>
      </c>
      <c r="G5" s="11" t="str">
        <f aca="false">IF(F5&gt;C5+1,"Excess stock: no new order needed",IF(E5&lt;C5,"Short until new orders land","On target"))</f>
        <v>Short until new orders land</v>
      </c>
      <c r="I5" s="12" t="n">
        <f aca="false">Calculation!C14</f>
        <v>2.82352941176471</v>
      </c>
      <c r="J5" s="12" t="n">
        <f aca="false">Calculation!D14</f>
        <v>2.85714285714286</v>
      </c>
      <c r="K5" s="12" t="n">
        <f aca="false">Calculation!E14</f>
        <v>2.92682926829268</v>
      </c>
      <c r="L5" s="13" t="n">
        <f aca="false">Calculation!F14</f>
        <v>3</v>
      </c>
      <c r="M5" s="13" t="n">
        <f aca="false">Calculation!G14</f>
        <v>3</v>
      </c>
      <c r="N5" s="13" t="n">
        <f aca="false">Calculation!H14</f>
        <v>3</v>
      </c>
      <c r="O5" s="13" t="n">
        <f aca="false">Calculation!I14</f>
        <v>3</v>
      </c>
      <c r="P5" s="13" t="n">
        <f aca="false">Calculation!J14</f>
        <v>3</v>
      </c>
      <c r="Q5" s="13" t="n">
        <f aca="false">Calculation!K14</f>
        <v>3</v>
      </c>
      <c r="R5" s="13" t="n">
        <f aca="false">Calculation!L14</f>
        <v>3</v>
      </c>
      <c r="S5" s="13" t="n">
        <f aca="false">Calculation!M14</f>
        <v>3</v>
      </c>
      <c r="T5" s="13" t="n">
        <f aca="false">Calculation!N14</f>
        <v>3</v>
      </c>
    </row>
    <row r="6" customFormat="false" ht="15" hidden="false" customHeight="false" outlineLevel="0" collapsed="false">
      <c r="A6" s="8" t="str">
        <f aca="false">INDEX(Settings!$A$2:$A$100,2)</f>
        <v>Territory</v>
      </c>
      <c r="B6" s="8" t="str">
        <f aca="false">Calculation!A18</f>
        <v>Trend</v>
      </c>
      <c r="C6" s="8" t="n">
        <f aca="false">Calculation!D18</f>
        <v>3</v>
      </c>
      <c r="D6" s="9" t="n">
        <f aca="false">Calculation!C27</f>
        <v>0</v>
      </c>
      <c r="E6" s="10" t="n">
        <f aca="false">MIN(Calculation!C26:INDEX(Calculation!C26:N26,Calculation!F18))</f>
        <v>5.29411764705882</v>
      </c>
      <c r="F6" s="10" t="n">
        <f aca="false">INDEX(Calculation!C26:N26,Calculation!F18+1)</f>
        <v>4.89320388349515</v>
      </c>
      <c r="G6" s="11" t="str">
        <f aca="false">IF(F6&gt;C6+1,"Excess stock: no new order needed",IF(E6&lt;C6,"Short until new orders land","On target"))</f>
        <v>Excess stock: no new order needed</v>
      </c>
      <c r="I6" s="12" t="n">
        <f aca="false">Calculation!C26</f>
        <v>5.29411764705882</v>
      </c>
      <c r="J6" s="12" t="n">
        <f aca="false">Calculation!D26</f>
        <v>6.33333333333333</v>
      </c>
      <c r="K6" s="12" t="n">
        <f aca="false">Calculation!E26</f>
        <v>5.57522123893805</v>
      </c>
      <c r="L6" s="13" t="n">
        <f aca="false">Calculation!F26</f>
        <v>4.89320388349515</v>
      </c>
      <c r="M6" s="13" t="n">
        <f aca="false">Calculation!G26</f>
        <v>4.19354838709677</v>
      </c>
      <c r="N6" s="13" t="n">
        <f aca="false">Calculation!H26</f>
        <v>3.38372093023256</v>
      </c>
      <c r="O6" s="13" t="n">
        <f aca="false">Calculation!I26</f>
        <v>3</v>
      </c>
      <c r="P6" s="13" t="n">
        <f aca="false">Calculation!J26</f>
        <v>3</v>
      </c>
      <c r="Q6" s="13" t="n">
        <f aca="false">Calculation!K26</f>
        <v>3</v>
      </c>
      <c r="R6" s="13" t="n">
        <f aca="false">Calculation!L26</f>
        <v>3</v>
      </c>
      <c r="S6" s="13" t="n">
        <f aca="false">Calculation!M26</f>
        <v>3</v>
      </c>
      <c r="T6" s="13" t="n">
        <f aca="false">Calculation!N26</f>
        <v>3</v>
      </c>
    </row>
    <row r="7" customFormat="false" ht="15" hidden="false" customHeight="false" outlineLevel="0" collapsed="false">
      <c r="A7" s="8" t="str">
        <f aca="false">INDEX(Settings!$A$2:$A$100,3)</f>
        <v>Territory</v>
      </c>
      <c r="B7" s="8" t="str">
        <f aca="false">Calculation!A30</f>
        <v>Titanium</v>
      </c>
      <c r="C7" s="8" t="n">
        <f aca="false">Calculation!D30</f>
        <v>3</v>
      </c>
      <c r="D7" s="9" t="n">
        <f aca="false">Calculation!C39</f>
        <v>78</v>
      </c>
      <c r="E7" s="10" t="n">
        <f aca="false">MIN(Calculation!C38:INDEX(Calculation!C38:N38,Calculation!F30))</f>
        <v>1.28571428571429</v>
      </c>
      <c r="F7" s="10" t="n">
        <f aca="false">INDEX(Calculation!C38:N38,Calculation!F30+1)</f>
        <v>3</v>
      </c>
      <c r="G7" s="11" t="str">
        <f aca="false">IF(F7&gt;C7+1,"Excess stock: no new order needed",IF(E7&lt;C7,"Short until new orders land","On target"))</f>
        <v>Short until new orders land</v>
      </c>
      <c r="I7" s="12" t="n">
        <f aca="false">Calculation!C38</f>
        <v>1.98529411764706</v>
      </c>
      <c r="J7" s="12" t="n">
        <f aca="false">Calculation!D38</f>
        <v>2.01492537313433</v>
      </c>
      <c r="K7" s="12" t="n">
        <f aca="false">Calculation!E38</f>
        <v>1.28571428571429</v>
      </c>
      <c r="L7" s="13" t="n">
        <f aca="false">Calculation!F38</f>
        <v>3</v>
      </c>
      <c r="M7" s="13" t="n">
        <f aca="false">Calculation!G38</f>
        <v>3</v>
      </c>
      <c r="N7" s="13" t="n">
        <f aca="false">Calculation!H38</f>
        <v>3</v>
      </c>
      <c r="O7" s="13" t="n">
        <f aca="false">Calculation!I38</f>
        <v>3</v>
      </c>
      <c r="P7" s="13" t="n">
        <f aca="false">Calculation!J38</f>
        <v>3</v>
      </c>
      <c r="Q7" s="13" t="n">
        <f aca="false">Calculation!K38</f>
        <v>3</v>
      </c>
      <c r="R7" s="13" t="n">
        <f aca="false">Calculation!L38</f>
        <v>3</v>
      </c>
      <c r="S7" s="13" t="n">
        <f aca="false">Calculation!M38</f>
        <v>3</v>
      </c>
      <c r="T7" s="13" t="n">
        <f aca="false">Calculation!N38</f>
        <v>3</v>
      </c>
    </row>
    <row r="8" customFormat="false" ht="15" hidden="false" customHeight="false" outlineLevel="0" collapsed="false">
      <c r="A8" s="8" t="str">
        <f aca="false">INDEX(Settings!$A$2:$A$100,4)</f>
        <v>Bronco</v>
      </c>
      <c r="B8" s="8" t="str">
        <f aca="false">Calculation!A42</f>
        <v>Big Bend 2-door</v>
      </c>
      <c r="C8" s="8" t="n">
        <f aca="false">Calculation!D42</f>
        <v>2</v>
      </c>
      <c r="D8" s="9" t="n">
        <f aca="false">Calculation!C51</f>
        <v>5</v>
      </c>
      <c r="E8" s="10" t="n">
        <f aca="false">MIN(Calculation!C50:INDEX(Calculation!C50:N50,Calculation!F42))</f>
        <v>2.1</v>
      </c>
      <c r="F8" s="10" t="n">
        <f aca="false">INDEX(Calculation!C50:N50,Calculation!F42+1)</f>
        <v>2</v>
      </c>
      <c r="G8" s="11" t="str">
        <f aca="false">IF(F8&gt;C8+1,"Excess stock: no new order needed",IF(E8&lt;C8,"Short until new orders land","On target"))</f>
        <v>On target</v>
      </c>
      <c r="I8" s="12" t="n">
        <f aca="false">Calculation!C50</f>
        <v>2.1</v>
      </c>
      <c r="J8" s="12" t="n">
        <f aca="false">Calculation!D50</f>
        <v>2.1</v>
      </c>
      <c r="K8" s="12" t="n">
        <f aca="false">Calculation!E50</f>
        <v>2.1</v>
      </c>
      <c r="L8" s="13" t="n">
        <f aca="false">Calculation!F50</f>
        <v>2</v>
      </c>
      <c r="M8" s="13" t="n">
        <f aca="false">Calculation!G50</f>
        <v>2.0625</v>
      </c>
      <c r="N8" s="13" t="n">
        <f aca="false">Calculation!H50</f>
        <v>2.14285714285714</v>
      </c>
      <c r="O8" s="13" t="n">
        <f aca="false">Calculation!I50</f>
        <v>2.14285714285714</v>
      </c>
      <c r="P8" s="13" t="n">
        <f aca="false">Calculation!J50</f>
        <v>2</v>
      </c>
      <c r="Q8" s="13" t="n">
        <f aca="false">Calculation!K50</f>
        <v>2.11764705882353</v>
      </c>
      <c r="R8" s="13" t="n">
        <f aca="false">Calculation!L50</f>
        <v>2</v>
      </c>
      <c r="S8" s="13" t="n">
        <f aca="false">Calculation!M50</f>
        <v>2.05263157894737</v>
      </c>
      <c r="T8" s="13" t="n">
        <f aca="false">Calculation!N50</f>
        <v>2.05263157894737</v>
      </c>
    </row>
    <row r="9" customFormat="false" ht="15" hidden="false" customHeight="false" outlineLevel="0" collapsed="false">
      <c r="A9" s="8" t="str">
        <f aca="false">INDEX(Settings!$A$2:$A$100,5)</f>
        <v>Bronco</v>
      </c>
      <c r="B9" s="8" t="str">
        <f aca="false">Calculation!A54</f>
        <v>Big Bend 4-door</v>
      </c>
      <c r="C9" s="8" t="n">
        <f aca="false">Calculation!D54</f>
        <v>2</v>
      </c>
      <c r="D9" s="9" t="n">
        <f aca="false">Calculation!C63</f>
        <v>7</v>
      </c>
      <c r="E9" s="10" t="n">
        <f aca="false">MIN(Calculation!C62:INDEX(Calculation!C62:N62,Calculation!F54))</f>
        <v>2.20588235294118</v>
      </c>
      <c r="F9" s="10" t="n">
        <f aca="false">INDEX(Calculation!C62:N62,Calculation!F54+1)</f>
        <v>2</v>
      </c>
      <c r="G9" s="11" t="str">
        <f aca="false">IF(F9&gt;C9+1,"Excess stock: no new order needed",IF(E9&lt;C9,"Short until new orders land","On target"))</f>
        <v>On target</v>
      </c>
      <c r="I9" s="12" t="n">
        <f aca="false">Calculation!C62</f>
        <v>2.20588235294118</v>
      </c>
      <c r="J9" s="12" t="n">
        <f aca="false">Calculation!D62</f>
        <v>2.27272727272727</v>
      </c>
      <c r="K9" s="12" t="n">
        <f aca="false">Calculation!E62</f>
        <v>2.27272727272727</v>
      </c>
      <c r="L9" s="13" t="n">
        <f aca="false">Calculation!F62</f>
        <v>2</v>
      </c>
      <c r="M9" s="13" t="n">
        <f aca="false">Calculation!G62</f>
        <v>2</v>
      </c>
      <c r="N9" s="13" t="n">
        <f aca="false">Calculation!H62</f>
        <v>2.04</v>
      </c>
      <c r="O9" s="13" t="n">
        <f aca="false">Calculation!I62</f>
        <v>2</v>
      </c>
      <c r="P9" s="13" t="n">
        <f aca="false">Calculation!J62</f>
        <v>2.07692307692308</v>
      </c>
      <c r="Q9" s="13" t="n">
        <f aca="false">Calculation!K62</f>
        <v>2.03571428571429</v>
      </c>
      <c r="R9" s="13" t="n">
        <f aca="false">Calculation!L62</f>
        <v>2</v>
      </c>
      <c r="S9" s="13" t="n">
        <f aca="false">Calculation!M62</f>
        <v>2.0625</v>
      </c>
      <c r="T9" s="13" t="n">
        <f aca="false">Calculation!N62</f>
        <v>2.0625</v>
      </c>
    </row>
    <row r="10" customFormat="false" ht="15" hidden="false" customHeight="false" outlineLevel="0" collapsed="false">
      <c r="A10" s="8" t="str">
        <f aca="false">INDEX(Settings!$A$2:$A$100,6)</f>
        <v>Bronco</v>
      </c>
      <c r="B10" s="8" t="str">
        <f aca="false">Calculation!A66</f>
        <v>Outer Banks</v>
      </c>
      <c r="C10" s="8" t="n">
        <f aca="false">Calculation!D66</f>
        <v>2</v>
      </c>
      <c r="D10" s="9" t="n">
        <f aca="false">Calculation!C75</f>
        <v>7</v>
      </c>
      <c r="E10" s="10" t="n">
        <f aca="false">MIN(Calculation!C74:INDEX(Calculation!C74:N74,Calculation!F66))</f>
        <v>2.11111111111111</v>
      </c>
      <c r="F10" s="10" t="n">
        <f aca="false">INDEX(Calculation!C74:N74,Calculation!F66+1)</f>
        <v>2</v>
      </c>
      <c r="G10" s="11" t="str">
        <f aca="false">IF(F10&gt;C10+1,"Excess stock: no new order needed",IF(E10&lt;C10,"Short until new orders land","On target"))</f>
        <v>On target</v>
      </c>
      <c r="I10" s="12" t="n">
        <f aca="false">Calculation!C74</f>
        <v>2.11111111111111</v>
      </c>
      <c r="J10" s="12" t="n">
        <f aca="false">Calculation!D74</f>
        <v>2.11111111111111</v>
      </c>
      <c r="K10" s="12" t="n">
        <f aca="false">Calculation!E74</f>
        <v>2.11111111111111</v>
      </c>
      <c r="L10" s="13" t="n">
        <f aca="false">Calculation!F74</f>
        <v>2</v>
      </c>
      <c r="M10" s="13" t="n">
        <f aca="false">Calculation!G74</f>
        <v>2</v>
      </c>
      <c r="N10" s="13" t="n">
        <f aca="false">Calculation!H74</f>
        <v>2.05263157894737</v>
      </c>
      <c r="O10" s="13" t="n">
        <f aca="false">Calculation!I74</f>
        <v>2</v>
      </c>
      <c r="P10" s="13" t="n">
        <f aca="false">Calculation!J74</f>
        <v>2.1</v>
      </c>
      <c r="Q10" s="13" t="n">
        <f aca="false">Calculation!K74</f>
        <v>2.04545454545455</v>
      </c>
      <c r="R10" s="13" t="n">
        <f aca="false">Calculation!L74</f>
        <v>2</v>
      </c>
      <c r="S10" s="13" t="n">
        <f aca="false">Calculation!M74</f>
        <v>2.04</v>
      </c>
      <c r="T10" s="13" t="n">
        <f aca="false">Calculation!N74</f>
        <v>2.04</v>
      </c>
    </row>
    <row r="11" customFormat="false" ht="15" hidden="false" customHeight="false" outlineLevel="0" collapsed="false">
      <c r="A11" s="8" t="str">
        <f aca="false">INDEX(Settings!$A$2:$A$100,7)</f>
        <v>Bronco</v>
      </c>
      <c r="B11" s="8" t="str">
        <f aca="false">Calculation!A78</f>
        <v>Badlands</v>
      </c>
      <c r="C11" s="8" t="n">
        <f aca="false">Calculation!D78</f>
        <v>2</v>
      </c>
      <c r="D11" s="9" t="n">
        <f aca="false">Calculation!C87</f>
        <v>5</v>
      </c>
      <c r="E11" s="10" t="n">
        <f aca="false">MIN(Calculation!C86:INDEX(Calculation!C86:N86,Calculation!F78))</f>
        <v>1.56521739130435</v>
      </c>
      <c r="F11" s="10" t="n">
        <f aca="false">INDEX(Calculation!C86:N86,Calculation!F78+1)</f>
        <v>2</v>
      </c>
      <c r="G11" s="11" t="str">
        <f aca="false">IF(F11&gt;C11+1,"Excess stock: no new order needed",IF(E11&lt;C11,"Short until new orders land","On target"))</f>
        <v>Short until new orders land</v>
      </c>
      <c r="I11" s="12" t="n">
        <f aca="false">Calculation!C86</f>
        <v>1.56521739130435</v>
      </c>
      <c r="J11" s="12" t="n">
        <f aca="false">Calculation!D86</f>
        <v>1.56521739130435</v>
      </c>
      <c r="K11" s="12" t="n">
        <f aca="false">Calculation!E86</f>
        <v>2.21739130434783</v>
      </c>
      <c r="L11" s="13" t="n">
        <f aca="false">Calculation!F86</f>
        <v>2</v>
      </c>
      <c r="M11" s="13" t="n">
        <f aca="false">Calculation!G86</f>
        <v>2.05263157894737</v>
      </c>
      <c r="N11" s="13" t="n">
        <f aca="false">Calculation!H86</f>
        <v>2.11764705882353</v>
      </c>
      <c r="O11" s="13" t="n">
        <f aca="false">Calculation!I86</f>
        <v>2.11764705882353</v>
      </c>
      <c r="P11" s="13" t="n">
        <f aca="false">Calculation!J86</f>
        <v>2</v>
      </c>
      <c r="Q11" s="13" t="n">
        <f aca="false">Calculation!K86</f>
        <v>2.1</v>
      </c>
      <c r="R11" s="13" t="n">
        <f aca="false">Calculation!L86</f>
        <v>2</v>
      </c>
      <c r="S11" s="13" t="n">
        <f aca="false">Calculation!M86</f>
        <v>2.04545454545455</v>
      </c>
      <c r="T11" s="13" t="n">
        <f aca="false">Calculation!N86</f>
        <v>2.04545454545455</v>
      </c>
    </row>
    <row r="12" customFormat="false" ht="15" hidden="false" customHeight="false" outlineLevel="0" collapsed="false">
      <c r="A12" s="8" t="str">
        <f aca="false">INDEX(Settings!$A$2:$A$100,8)</f>
        <v>Bronco</v>
      </c>
      <c r="B12" s="8" t="str">
        <f aca="false">Calculation!A90</f>
        <v>Wildtrak</v>
      </c>
      <c r="C12" s="8" t="n">
        <f aca="false">Calculation!D90</f>
        <v>2</v>
      </c>
      <c r="D12" s="9" t="n">
        <f aca="false">Calculation!C99</f>
        <v>9</v>
      </c>
      <c r="E12" s="10" t="n">
        <f aca="false">MIN(Calculation!C98:INDEX(Calculation!C98:N98,Calculation!F90))</f>
        <v>0.923076923076923</v>
      </c>
      <c r="F12" s="10" t="n">
        <f aca="false">INDEX(Calculation!C98:N98,Calculation!F90+1)</f>
        <v>2</v>
      </c>
      <c r="G12" s="11" t="str">
        <f aca="false">IF(F12&gt;C12+1,"Excess stock: no new order needed",IF(E12&lt;C12,"Short until new orders land","On target"))</f>
        <v>Short until new orders land</v>
      </c>
      <c r="I12" s="12" t="n">
        <f aca="false">Calculation!C98</f>
        <v>1.92857142857143</v>
      </c>
      <c r="J12" s="12" t="n">
        <f aca="false">Calculation!D98</f>
        <v>0.923076923076923</v>
      </c>
      <c r="K12" s="12" t="n">
        <f aca="false">Calculation!E98</f>
        <v>0.923076923076923</v>
      </c>
      <c r="L12" s="13" t="n">
        <f aca="false">Calculation!F98</f>
        <v>2</v>
      </c>
      <c r="M12" s="13" t="n">
        <f aca="false">Calculation!G98</f>
        <v>2.45454545454545</v>
      </c>
      <c r="N12" s="13" t="n">
        <f aca="false">Calculation!H98</f>
        <v>2.1</v>
      </c>
      <c r="O12" s="13" t="n">
        <f aca="false">Calculation!I98</f>
        <v>2</v>
      </c>
      <c r="P12" s="13" t="n">
        <f aca="false">Calculation!J98</f>
        <v>2.1</v>
      </c>
      <c r="Q12" s="13" t="n">
        <f aca="false">Calculation!K98</f>
        <v>2.18181818181818</v>
      </c>
      <c r="R12" s="13" t="n">
        <f aca="false">Calculation!L98</f>
        <v>2</v>
      </c>
      <c r="S12" s="13" t="n">
        <f aca="false">Calculation!M98</f>
        <v>2.07692307692308</v>
      </c>
      <c r="T12" s="13" t="n">
        <f aca="false">Calculation!N98</f>
        <v>2.07692307692308</v>
      </c>
    </row>
    <row r="15" customFormat="false" ht="15" hidden="false" customHeight="false" outlineLevel="0" collapsed="false">
      <c r="A15" s="14" t="s">
        <v>47</v>
      </c>
    </row>
    <row r="16" customFormat="false" ht="15" hidden="false" customHeight="false" outlineLevel="0" collapsed="false">
      <c r="A16" s="4" t="s">
        <v>48</v>
      </c>
    </row>
    <row r="17" customFormat="false" ht="15" hidden="false" customHeight="false" outlineLevel="0" collapsed="false">
      <c r="A17" s="5" t="str">
        <f aca="false">B5</f>
        <v>Ambiente</v>
      </c>
      <c r="B17" s="15" t="str">
        <f aca="false">Plan!B12</f>
        <v>Feb-27 sells 30 and has 6 extra (it starts with 80 cars, and the 3 months after it need 74). Order 30 - 6 = 24 now.</v>
      </c>
    </row>
    <row r="18" customFormat="false" ht="15" hidden="false" customHeight="false" outlineLevel="0" collapsed="false">
      <c r="A18" s="5" t="str">
        <f aca="false">B6</f>
        <v>Trend</v>
      </c>
      <c r="B18" s="15" t="str">
        <f aca="false">Plan!B20</f>
        <v>Feb-27 sells 42 and has 107 extra (it starts with 210 cars, and the 3 months after it need 103). The extra covers its sales, so no order is needed now.</v>
      </c>
    </row>
    <row r="19" customFormat="false" ht="15" hidden="false" customHeight="false" outlineLevel="0" collapsed="false">
      <c r="A19" s="5" t="str">
        <f aca="false">B7</f>
        <v>Titanium</v>
      </c>
      <c r="B19" s="15" t="str">
        <f aca="false">Plan!B28</f>
        <v>Feb-27 sells 24 and is 54 short (it starts with 45 cars, and the 3 months after it need 99). Order 24 + 54 = 78 now.</v>
      </c>
    </row>
    <row r="20" customFormat="false" ht="15" hidden="false" customHeight="false" outlineLevel="0" collapsed="false">
      <c r="A20" s="5" t="str">
        <f aca="false">B8</f>
        <v>Big Bend 2-door</v>
      </c>
      <c r="B20" s="15" t="str">
        <f aca="false">Plan!B36</f>
        <v>Feb-27 sells 7 and has 2 extra (it starts with 14 cars, and the 3 months after it need 12). Order 7 - 2 = 5 now.</v>
      </c>
    </row>
    <row r="21" customFormat="false" ht="15" hidden="false" customHeight="false" outlineLevel="0" collapsed="false">
      <c r="A21" s="5" t="str">
        <f aca="false">B9</f>
        <v>Big Bend 4-door</v>
      </c>
      <c r="B21" s="15" t="str">
        <f aca="false">Plan!B44</f>
        <v>Feb-27 sells 12 and has 5 extra (it starts with 25 cars, and the 3 months after it need 20). Order 12 - 5 = 7 now.</v>
      </c>
    </row>
    <row r="22" customFormat="false" ht="15" hidden="false" customHeight="false" outlineLevel="0" collapsed="false">
      <c r="A22" s="5" t="str">
        <f aca="false">B10</f>
        <v>Outer Banks</v>
      </c>
      <c r="B22" s="15" t="str">
        <f aca="false">Plan!B52</f>
        <v>Feb-27 sells 10 and has 3 extra (it starts with 19 cars, and the 3 months after it need 16). Order 10 - 3 = 7 now.</v>
      </c>
    </row>
    <row r="23" customFormat="false" ht="15" hidden="false" customHeight="false" outlineLevel="0" collapsed="false">
      <c r="A23" s="5" t="str">
        <f aca="false">B11</f>
        <v>Badlands</v>
      </c>
      <c r="B23" s="15" t="str">
        <f aca="false">Plan!B60</f>
        <v>Feb-27 sells 8 and has 3 extra (it starts with 17 cars, and the 3 months after it need 14). Order 8 - 3 = 5 now.</v>
      </c>
    </row>
    <row r="24" customFormat="false" ht="15" hidden="false" customHeight="false" outlineLevel="0" collapsed="false">
      <c r="A24" s="5" t="str">
        <f aca="false">B12</f>
        <v>Wildtrak</v>
      </c>
      <c r="B24" s="15" t="str">
        <f aca="false">Plan!B68</f>
        <v>Feb-27 sells 5 and is 4 short (it starts with 4 cars, and the 3 months after it need 8). Order 5 + 4 = 9 now.</v>
      </c>
    </row>
  </sheetData>
  <conditionalFormatting sqref="I5:T12">
    <cfRule type="expression" priority="2" aboveAverage="0" equalAverage="0" bottom="0" percent="0" rank="0" text="" dxfId="0">
      <formula>AND(I5&lt;&gt;"",I5&lt;$C5)</formula>
    </cfRule>
    <cfRule type="expression" priority="3" aboveAverage="0" equalAverage="0" bottom="0" percent="0" rank="0" text="" dxfId="1">
      <formula>AND(I5&lt;&gt;"",I5&gt;$C5+1)</formula>
    </cfRule>
    <cfRule type="expression" priority="4" aboveAverage="0" equalAverage="0" bottom="0" percent="0" rank="0" text="" dxfId="2">
      <formula>AND(I5&lt;&gt;"",I5&gt;=$C5,I5&lt;=$C5+1)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7"/>
    <col collapsed="false" customWidth="true" hidden="false" outlineLevel="0" max="14" min="3" style="0" width="9"/>
  </cols>
  <sheetData>
    <row r="1" customFormat="false" ht="17.35" hidden="false" customHeight="false" outlineLevel="0" collapsed="false">
      <c r="B1" s="1" t="s">
        <v>49</v>
      </c>
    </row>
    <row r="2" customFormat="false" ht="15" hidden="false" customHeight="false" outlineLevel="0" collapsed="false">
      <c r="B2" s="4" t="s">
        <v>50</v>
      </c>
    </row>
    <row r="3" customFormat="false" ht="15" hidden="false" customHeight="false" outlineLevel="0" collapsed="false">
      <c r="B3" s="16" t="s">
        <v>51</v>
      </c>
      <c r="C3" s="16" t="n">
        <v>1</v>
      </c>
      <c r="D3" s="16" t="n">
        <v>2</v>
      </c>
      <c r="E3" s="16" t="n">
        <v>3</v>
      </c>
      <c r="F3" s="16" t="n">
        <v>4</v>
      </c>
      <c r="G3" s="16" t="n">
        <v>5</v>
      </c>
      <c r="H3" s="16" t="n">
        <v>6</v>
      </c>
      <c r="I3" s="16" t="n">
        <v>7</v>
      </c>
      <c r="J3" s="16" t="n">
        <v>8</v>
      </c>
      <c r="K3" s="16" t="n">
        <v>9</v>
      </c>
      <c r="L3" s="16" t="n">
        <v>10</v>
      </c>
      <c r="M3" s="16" t="n">
        <v>11</v>
      </c>
      <c r="N3" s="16" t="n">
        <v>12</v>
      </c>
    </row>
    <row r="4" customFormat="false" ht="15" hidden="false" customHeight="false" outlineLevel="0" collapsed="false">
      <c r="B4" s="5" t="s">
        <v>52</v>
      </c>
      <c r="C4" s="7" t="n">
        <f aca="false">Calculation!C4</f>
        <v>46327</v>
      </c>
      <c r="D4" s="7" t="n">
        <f aca="false">Calculation!D4</f>
        <v>46357</v>
      </c>
      <c r="E4" s="7" t="n">
        <f aca="false">Calculation!E4</f>
        <v>46388</v>
      </c>
      <c r="F4" s="7" t="n">
        <f aca="false">Calculation!F4</f>
        <v>46419</v>
      </c>
      <c r="G4" s="7" t="n">
        <f aca="false">Calculation!G4</f>
        <v>46447</v>
      </c>
      <c r="H4" s="7" t="n">
        <f aca="false">Calculation!H4</f>
        <v>46478</v>
      </c>
      <c r="I4" s="7" t="n">
        <f aca="false">Calculation!I4</f>
        <v>46508</v>
      </c>
      <c r="J4" s="7" t="n">
        <f aca="false">Calculation!J4</f>
        <v>46539</v>
      </c>
      <c r="K4" s="7" t="n">
        <f aca="false">Calculation!K4</f>
        <v>46569</v>
      </c>
      <c r="L4" s="7" t="n">
        <f aca="false">Calculation!L4</f>
        <v>46600</v>
      </c>
      <c r="M4" s="7" t="n">
        <f aca="false">Calculation!M4</f>
        <v>46631</v>
      </c>
      <c r="N4" s="7" t="n">
        <f aca="false">Calculation!N4</f>
        <v>46661</v>
      </c>
    </row>
    <row r="6" customFormat="false" ht="15" hidden="false" customHeight="false" outlineLevel="0" collapsed="false">
      <c r="B6" s="17" t="str">
        <f aca="false">Calculation!B6</f>
        <v>Territory - Ambiente</v>
      </c>
      <c r="C6" s="18" t="s">
        <v>53</v>
      </c>
      <c r="D6" s="19" t="n">
        <f aca="false">Calculation!D6</f>
        <v>3</v>
      </c>
      <c r="E6" s="18" t="s">
        <v>54</v>
      </c>
      <c r="F6" s="19" t="n">
        <f aca="false">Calculation!F6</f>
        <v>3</v>
      </c>
      <c r="G6" s="17"/>
      <c r="H6" s="17"/>
      <c r="I6" s="17"/>
      <c r="J6" s="17"/>
      <c r="K6" s="17"/>
      <c r="L6" s="17"/>
      <c r="M6" s="17"/>
      <c r="N6" s="17"/>
    </row>
    <row r="7" customFormat="false" ht="15" hidden="false" customHeight="false" outlineLevel="0" collapsed="false">
      <c r="B7" s="5" t="s">
        <v>55</v>
      </c>
      <c r="C7" s="9" t="n">
        <f aca="false">IF(AND(Calculation!C15="",Calculation!C16=0),"",Calculation!C16+N(Calculation!C15))</f>
        <v>24</v>
      </c>
      <c r="D7" s="9" t="n">
        <f aca="false">IF(AND(Calculation!D15="",Calculation!D16=0),"",Calculation!D16+N(Calculation!D15))</f>
        <v>20</v>
      </c>
      <c r="E7" s="9" t="n">
        <f aca="false">IF(AND(Calculation!E15="",Calculation!E16=0),"",Calculation!E16+N(Calculation!E15))</f>
        <v>19</v>
      </c>
      <c r="F7" s="9" t="n">
        <f aca="false">IF(AND(Calculation!F15="",Calculation!F16=0),"",Calculation!F16+N(Calculation!F15))</f>
        <v>20</v>
      </c>
      <c r="G7" s="9" t="n">
        <f aca="false">IF(AND(Calculation!G15="",Calculation!G16=0),"",Calculation!G16+N(Calculation!G15))</f>
        <v>24</v>
      </c>
      <c r="H7" s="9" t="n">
        <f aca="false">IF(AND(Calculation!H15="",Calculation!H16=0),"",Calculation!H16+N(Calculation!H15))</f>
        <v>25</v>
      </c>
      <c r="I7" s="9" t="n">
        <f aca="false">IF(AND(Calculation!I15="",Calculation!I16=0),"",Calculation!I16+N(Calculation!I15))</f>
        <v>25</v>
      </c>
      <c r="J7" s="9" t="n">
        <f aca="false">IF(AND(Calculation!J15="",Calculation!J16=0),"",Calculation!J16+N(Calculation!J15))</f>
        <v>29</v>
      </c>
      <c r="K7" s="9" t="n">
        <f aca="false">IF(AND(Calculation!K15="",Calculation!K16=0),"",Calculation!K16+N(Calculation!K15))</f>
        <v>26</v>
      </c>
      <c r="L7" s="9" t="str">
        <f aca="false">IF(AND(Calculation!L15="",Calculation!L16=0),"",Calculation!L16+N(Calculation!L15))</f>
        <v/>
      </c>
      <c r="M7" s="9" t="str">
        <f aca="false">IF(AND(Calculation!M15="",Calculation!M16=0),"",Calculation!M16+N(Calculation!M15))</f>
        <v/>
      </c>
      <c r="N7" s="9" t="str">
        <f aca="false">IF(AND(Calculation!N15="",Calculation!N16=0),"",Calculation!N16+N(Calculation!N15))</f>
        <v/>
      </c>
    </row>
    <row r="8" customFormat="false" ht="15" hidden="false" customHeight="false" outlineLevel="0" collapsed="false">
      <c r="B8" s="8" t="s">
        <v>56</v>
      </c>
      <c r="C8" s="20" t="n">
        <f aca="false">Calculation!C8+Calculation!C9</f>
        <v>25</v>
      </c>
      <c r="D8" s="20" t="n">
        <f aca="false">Calculation!D8+Calculation!D9</f>
        <v>29</v>
      </c>
      <c r="E8" s="20" t="n">
        <f aca="false">Calculation!E8+Calculation!E9</f>
        <v>26</v>
      </c>
      <c r="F8" s="20" t="n">
        <f aca="false">Calculation!F8+Calculation!F9</f>
        <v>24</v>
      </c>
      <c r="G8" s="20" t="n">
        <f aca="false">Calculation!G8+Calculation!G9</f>
        <v>20</v>
      </c>
      <c r="H8" s="20" t="n">
        <f aca="false">Calculation!H8+Calculation!H9</f>
        <v>19</v>
      </c>
      <c r="I8" s="20" t="n">
        <f aca="false">Calculation!I8+Calculation!I9</f>
        <v>20</v>
      </c>
      <c r="J8" s="20" t="n">
        <f aca="false">Calculation!J8+Calculation!J9</f>
        <v>24</v>
      </c>
      <c r="K8" s="20" t="n">
        <f aca="false">Calculation!K8+Calculation!K9</f>
        <v>25</v>
      </c>
      <c r="L8" s="20" t="n">
        <f aca="false">Calculation!L8+Calculation!L9</f>
        <v>25</v>
      </c>
      <c r="M8" s="20" t="n">
        <f aca="false">Calculation!M8+Calculation!M9</f>
        <v>29</v>
      </c>
      <c r="N8" s="20" t="n">
        <f aca="false">Calculation!N8+Calculation!N9</f>
        <v>26</v>
      </c>
    </row>
    <row r="9" customFormat="false" ht="15" hidden="false" customHeight="false" outlineLevel="0" collapsed="false">
      <c r="B9" s="8" t="s">
        <v>57</v>
      </c>
      <c r="C9" s="20" t="n">
        <f aca="false">Calculation!C10</f>
        <v>25</v>
      </c>
      <c r="D9" s="20" t="n">
        <f aca="false">Calculation!D10</f>
        <v>29</v>
      </c>
      <c r="E9" s="20" t="n">
        <f aca="false">Calculation!E10</f>
        <v>26</v>
      </c>
      <c r="F9" s="20" t="n">
        <f aca="false">Calculation!F10</f>
        <v>30</v>
      </c>
      <c r="G9" s="20" t="n">
        <f aca="false">Calculation!G10</f>
        <v>28</v>
      </c>
      <c r="H9" s="20" t="n">
        <f aca="false">Calculation!H10</f>
        <v>24</v>
      </c>
      <c r="I9" s="20" t="n">
        <f aca="false">Calculation!I10</f>
        <v>22</v>
      </c>
      <c r="J9" s="20" t="n">
        <f aca="false">Calculation!J10</f>
        <v>20</v>
      </c>
      <c r="K9" s="20" t="n">
        <f aca="false">Calculation!K10</f>
        <v>19</v>
      </c>
      <c r="L9" s="20" t="n">
        <f aca="false">Calculation!L10</f>
        <v>20</v>
      </c>
      <c r="M9" s="20" t="n">
        <f aca="false">Calculation!M10</f>
        <v>24</v>
      </c>
      <c r="N9" s="20" t="n">
        <f aca="false">Calculation!N10</f>
        <v>25</v>
      </c>
    </row>
    <row r="10" customFormat="false" ht="15" hidden="false" customHeight="false" outlineLevel="0" collapsed="false">
      <c r="B10" s="5" t="s">
        <v>58</v>
      </c>
      <c r="C10" s="9" t="n">
        <f aca="false">Calculation!C11</f>
        <v>80</v>
      </c>
      <c r="D10" s="9" t="n">
        <f aca="false">Calculation!D11</f>
        <v>80</v>
      </c>
      <c r="E10" s="9" t="n">
        <f aca="false">Calculation!E11</f>
        <v>80</v>
      </c>
      <c r="F10" s="9" t="n">
        <f aca="false">Calculation!F11</f>
        <v>74</v>
      </c>
      <c r="G10" s="9" t="n">
        <f aca="false">Calculation!G11</f>
        <v>66</v>
      </c>
      <c r="H10" s="9" t="n">
        <f aca="false">Calculation!H11</f>
        <v>61</v>
      </c>
      <c r="I10" s="9" t="n">
        <f aca="false">Calculation!I11</f>
        <v>59</v>
      </c>
      <c r="J10" s="9" t="n">
        <f aca="false">Calculation!J11</f>
        <v>63</v>
      </c>
      <c r="K10" s="9" t="n">
        <f aca="false">Calculation!K11</f>
        <v>69</v>
      </c>
      <c r="L10" s="9" t="n">
        <f aca="false">Calculation!L11</f>
        <v>74</v>
      </c>
      <c r="M10" s="9" t="n">
        <f aca="false">Calculation!M11</f>
        <v>79</v>
      </c>
      <c r="N10" s="9" t="n">
        <f aca="false">Calculation!N11</f>
        <v>80</v>
      </c>
    </row>
    <row r="11" customFormat="false" ht="15" hidden="false" customHeight="false" outlineLevel="0" collapsed="false">
      <c r="B11" s="5" t="s">
        <v>59</v>
      </c>
      <c r="C11" s="21" t="n">
        <f aca="false">Calculation!C14</f>
        <v>2.82352941176471</v>
      </c>
      <c r="D11" s="21" t="n">
        <f aca="false">Calculation!D14</f>
        <v>2.85714285714286</v>
      </c>
      <c r="E11" s="21" t="n">
        <f aca="false">Calculation!E14</f>
        <v>2.92682926829268</v>
      </c>
      <c r="F11" s="21" t="n">
        <f aca="false">Calculation!F14</f>
        <v>3</v>
      </c>
      <c r="G11" s="21" t="n">
        <f aca="false">Calculation!G14</f>
        <v>3</v>
      </c>
      <c r="H11" s="21" t="n">
        <f aca="false">Calculation!H14</f>
        <v>3</v>
      </c>
      <c r="I11" s="21" t="n">
        <f aca="false">Calculation!I14</f>
        <v>3</v>
      </c>
      <c r="J11" s="21" t="n">
        <f aca="false">Calculation!J14</f>
        <v>3</v>
      </c>
      <c r="K11" s="21" t="n">
        <f aca="false">Calculation!K14</f>
        <v>3</v>
      </c>
      <c r="L11" s="21" t="n">
        <f aca="false">Calculation!L14</f>
        <v>3</v>
      </c>
      <c r="M11" s="21" t="n">
        <f aca="false">Calculation!M14</f>
        <v>3</v>
      </c>
      <c r="N11" s="21" t="n">
        <f aca="false">Calculation!N14</f>
        <v>3</v>
      </c>
    </row>
    <row r="12" customFormat="false" ht="15" hidden="false" customHeight="false" outlineLevel="0" collapsed="false">
      <c r="B12" s="22" t="str">
        <f aca="false">TEXT(INDEX(Calculation!$C$4:$N$4,$F$6+1),"mmm-yy")&amp;" sells "&amp;INDEX(Calculation!$C$10:$N$10,$F$6+1)&amp;IF(INDEX(Calculation!$C$9:$N$9,$F$6+1)&gt;0,IF(INDEX(Calculation!$C$9:$N$9,$F$6+1)&gt;=INDEX(Calculation!$C$10:$N$10,$F$6+1)," and is "&amp;(INDEX(Calculation!$C$9:$N$9,$F$6+1)-INDEX(Calculation!$C$10:$N$10,$F$6+1))&amp;" short"&amp;" (it starts with "&amp;(INDEX(Calculation!$C$7:$N$7,$F$6+1)+INDEX(Calculation!$C$8:$N$8,$F$6+1))&amp;" cars, and the 3 months after it need "&amp;ROUNDUP(INDEX(Calculation!$C$13:$N$13,$F$6+1),0)&amp;")."&amp;" Order "&amp;INDEX(Calculation!$C$10:$N$10,$F$6+1)&amp;" + "&amp;(INDEX(Calculation!$C$9:$N$9,$F$6+1)-INDEX(Calculation!$C$10:$N$10,$F$6+1))&amp;" = "&amp;INDEX(Calculation!$C$9:$N$9,$F$6+1)&amp;" now."," and has "&amp;(INDEX(Calculation!$C$10:$N$10,$F$6+1)-INDEX(Calculation!$C$9:$N$9,$F$6+1))&amp;" extra"&amp;" (it starts with "&amp;(INDEX(Calculation!$C$7:$N$7,$F$6+1)+INDEX(Calculation!$C$8:$N$8,$F$6+1))&amp;" cars, and the 3 months after it need "&amp;ROUNDUP(INDEX(Calculation!$C$13:$N$13,$F$6+1),0)&amp;")."&amp;" Order "&amp;INDEX(Calculation!$C$10:$N$10,$F$6+1)&amp;" - "&amp;(INDEX(Calculation!$C$10:$N$10,$F$6+1)-INDEX(Calculation!$C$9:$N$9,$F$6+1))&amp;" = "&amp;INDEX(Calculation!$C$9:$N$9,$F$6+1)&amp;" now.")," and has "&amp;((INDEX(Calculation!$C$7:$N$7,$F$6+1)+INDEX(Calculation!$C$8:$N$8,$F$6+1))-ROUNDUP(INDEX(Calculation!$C$13:$N$13,$F$6+1),0))&amp;" extra"&amp;" (it starts with "&amp;(INDEX(Calculation!$C$7:$N$7,$F$6+1)+INDEX(Calculation!$C$8:$N$8,$F$6+1))&amp;" cars, and the 3 months after it need "&amp;ROUNDUP(INDEX(Calculation!$C$13:$N$13,$F$6+1),0)&amp;")."&amp;" The extra covers its sales, so no order is needed now.")</f>
        <v>Feb-27 sells 30 and has 6 extra (it starts with 80 cars, and the 3 months after it need 74). Order 30 - 6 = 24 now.</v>
      </c>
    </row>
    <row r="14" customFormat="false" ht="15" hidden="false" customHeight="false" outlineLevel="0" collapsed="false">
      <c r="B14" s="17" t="str">
        <f aca="false">Calculation!B18</f>
        <v>Territory - Trend</v>
      </c>
      <c r="C14" s="18" t="s">
        <v>53</v>
      </c>
      <c r="D14" s="19" t="n">
        <f aca="false">Calculation!D18</f>
        <v>3</v>
      </c>
      <c r="E14" s="18" t="s">
        <v>54</v>
      </c>
      <c r="F14" s="19" t="n">
        <f aca="false">Calculation!F18</f>
        <v>3</v>
      </c>
      <c r="G14" s="17"/>
      <c r="H14" s="17"/>
      <c r="I14" s="17"/>
      <c r="J14" s="17"/>
      <c r="K14" s="17"/>
      <c r="L14" s="17"/>
      <c r="M14" s="17"/>
      <c r="N14" s="17"/>
    </row>
    <row r="15" customFormat="false" ht="15" hidden="false" customHeight="false" outlineLevel="0" collapsed="false">
      <c r="B15" s="5" t="s">
        <v>55</v>
      </c>
      <c r="C15" s="9" t="n">
        <f aca="false">IF(AND(Calculation!C27="",Calculation!C28=0),"",Calculation!C28+N(Calculation!C27))</f>
        <v>0</v>
      </c>
      <c r="D15" s="9" t="n">
        <f aca="false">IF(AND(Calculation!D27="",Calculation!D28=0),"",Calculation!D28+N(Calculation!D27))</f>
        <v>0</v>
      </c>
      <c r="E15" s="9" t="n">
        <f aca="false">IF(AND(Calculation!E27="",Calculation!E28=0),"",Calculation!E28+N(Calculation!E27))</f>
        <v>0</v>
      </c>
      <c r="F15" s="9" t="n">
        <f aca="false">IF(AND(Calculation!F27="",Calculation!F28=0),"",Calculation!F28+N(Calculation!F27))</f>
        <v>17</v>
      </c>
      <c r="G15" s="9" t="n">
        <f aca="false">IF(AND(Calculation!G27="",Calculation!G28=0),"",Calculation!G28+N(Calculation!G27))</f>
        <v>33</v>
      </c>
      <c r="H15" s="9" t="n">
        <f aca="false">IF(AND(Calculation!H27="",Calculation!H28=0),"",Calculation!H28+N(Calculation!H27))</f>
        <v>35</v>
      </c>
      <c r="I15" s="9" t="n">
        <f aca="false">IF(AND(Calculation!I27="",Calculation!I28=0),"",Calculation!I28+N(Calculation!I27))</f>
        <v>35</v>
      </c>
      <c r="J15" s="9" t="n">
        <f aca="false">IF(AND(Calculation!J27="",Calculation!J28=0),"",Calculation!J28+N(Calculation!J27))</f>
        <v>40</v>
      </c>
      <c r="K15" s="9" t="n">
        <f aca="false">IF(AND(Calculation!K27="",Calculation!K28=0),"",Calculation!K28+N(Calculation!K27))</f>
        <v>37</v>
      </c>
      <c r="L15" s="9" t="str">
        <f aca="false">IF(AND(Calculation!L27="",Calculation!L28=0),"",Calculation!L28+N(Calculation!L27))</f>
        <v/>
      </c>
      <c r="M15" s="9" t="str">
        <f aca="false">IF(AND(Calculation!M27="",Calculation!M28=0),"",Calculation!M28+N(Calculation!M27))</f>
        <v/>
      </c>
      <c r="N15" s="9" t="str">
        <f aca="false">IF(AND(Calculation!N27="",Calculation!N28=0),"",Calculation!N28+N(Calculation!N27))</f>
        <v/>
      </c>
    </row>
    <row r="16" customFormat="false" ht="15" hidden="false" customHeight="false" outlineLevel="0" collapsed="false">
      <c r="B16" s="8" t="s">
        <v>56</v>
      </c>
      <c r="C16" s="20" t="n">
        <f aca="false">Calculation!C20+Calculation!C21</f>
        <v>35</v>
      </c>
      <c r="D16" s="20" t="n">
        <f aca="false">Calculation!D20+Calculation!D21</f>
        <v>77</v>
      </c>
      <c r="E16" s="20" t="n">
        <f aca="false">Calculation!E20+Calculation!E21</f>
        <v>0</v>
      </c>
      <c r="F16" s="20" t="n">
        <f aca="false">Calculation!F20+Calculation!F21</f>
        <v>0</v>
      </c>
      <c r="G16" s="20" t="n">
        <f aca="false">Calculation!G20+Calculation!G21</f>
        <v>0</v>
      </c>
      <c r="H16" s="20" t="n">
        <f aca="false">Calculation!H20+Calculation!H21</f>
        <v>0</v>
      </c>
      <c r="I16" s="20" t="n">
        <f aca="false">Calculation!I20+Calculation!I21</f>
        <v>17</v>
      </c>
      <c r="J16" s="20" t="n">
        <f aca="false">Calculation!J20+Calculation!J21</f>
        <v>33</v>
      </c>
      <c r="K16" s="20" t="n">
        <f aca="false">Calculation!K20+Calculation!K21</f>
        <v>35</v>
      </c>
      <c r="L16" s="20" t="n">
        <f aca="false">Calculation!L20+Calculation!L21</f>
        <v>35</v>
      </c>
      <c r="M16" s="20" t="n">
        <f aca="false">Calculation!M20+Calculation!M21</f>
        <v>40</v>
      </c>
      <c r="N16" s="20" t="n">
        <f aca="false">Calculation!N20+Calculation!N21</f>
        <v>37</v>
      </c>
    </row>
    <row r="17" customFormat="false" ht="15" hidden="false" customHeight="false" outlineLevel="0" collapsed="false">
      <c r="B17" s="8" t="s">
        <v>57</v>
      </c>
      <c r="C17" s="20" t="n">
        <f aca="false">Calculation!C22</f>
        <v>35</v>
      </c>
      <c r="D17" s="20" t="n">
        <f aca="false">Calculation!D22</f>
        <v>40</v>
      </c>
      <c r="E17" s="20" t="n">
        <f aca="false">Calculation!E22</f>
        <v>37</v>
      </c>
      <c r="F17" s="20" t="n">
        <f aca="false">Calculation!F22</f>
        <v>42</v>
      </c>
      <c r="G17" s="20" t="n">
        <f aca="false">Calculation!G22</f>
        <v>38</v>
      </c>
      <c r="H17" s="20" t="n">
        <f aca="false">Calculation!H22</f>
        <v>33</v>
      </c>
      <c r="I17" s="20" t="n">
        <f aca="false">Calculation!I22</f>
        <v>32</v>
      </c>
      <c r="J17" s="20" t="n">
        <f aca="false">Calculation!J22</f>
        <v>28</v>
      </c>
      <c r="K17" s="20" t="n">
        <f aca="false">Calculation!K22</f>
        <v>26</v>
      </c>
      <c r="L17" s="20" t="n">
        <f aca="false">Calculation!L22</f>
        <v>28</v>
      </c>
      <c r="M17" s="20" t="n">
        <f aca="false">Calculation!M22</f>
        <v>33</v>
      </c>
      <c r="N17" s="20" t="n">
        <f aca="false">Calculation!N22</f>
        <v>35</v>
      </c>
    </row>
    <row r="18" customFormat="false" ht="15" hidden="false" customHeight="false" outlineLevel="0" collapsed="false">
      <c r="B18" s="5" t="s">
        <v>58</v>
      </c>
      <c r="C18" s="9" t="n">
        <f aca="false">Calculation!C23</f>
        <v>210</v>
      </c>
      <c r="D18" s="9" t="n">
        <f aca="false">Calculation!D23</f>
        <v>247</v>
      </c>
      <c r="E18" s="9" t="n">
        <f aca="false">Calculation!E23</f>
        <v>210</v>
      </c>
      <c r="F18" s="9" t="n">
        <f aca="false">Calculation!F23</f>
        <v>168</v>
      </c>
      <c r="G18" s="9" t="n">
        <f aca="false">Calculation!G23</f>
        <v>130</v>
      </c>
      <c r="H18" s="9" t="n">
        <f aca="false">Calculation!H23</f>
        <v>97</v>
      </c>
      <c r="I18" s="9" t="n">
        <f aca="false">Calculation!I23</f>
        <v>82</v>
      </c>
      <c r="J18" s="9" t="n">
        <f aca="false">Calculation!J23</f>
        <v>87</v>
      </c>
      <c r="K18" s="9" t="n">
        <f aca="false">Calculation!K23</f>
        <v>96</v>
      </c>
      <c r="L18" s="9" t="n">
        <f aca="false">Calculation!L23</f>
        <v>103</v>
      </c>
      <c r="M18" s="9" t="n">
        <f aca="false">Calculation!M23</f>
        <v>110</v>
      </c>
      <c r="N18" s="9" t="n">
        <f aca="false">Calculation!N23</f>
        <v>112</v>
      </c>
    </row>
    <row r="19" customFormat="false" ht="15" hidden="false" customHeight="false" outlineLevel="0" collapsed="false">
      <c r="B19" s="5" t="s">
        <v>59</v>
      </c>
      <c r="C19" s="21" t="n">
        <f aca="false">Calculation!C26</f>
        <v>5.29411764705882</v>
      </c>
      <c r="D19" s="21" t="n">
        <f aca="false">Calculation!D26</f>
        <v>6.33333333333333</v>
      </c>
      <c r="E19" s="21" t="n">
        <f aca="false">Calculation!E26</f>
        <v>5.57522123893805</v>
      </c>
      <c r="F19" s="21" t="n">
        <f aca="false">Calculation!F26</f>
        <v>4.89320388349515</v>
      </c>
      <c r="G19" s="21" t="n">
        <f aca="false">Calculation!G26</f>
        <v>4.19354838709677</v>
      </c>
      <c r="H19" s="21" t="n">
        <f aca="false">Calculation!H26</f>
        <v>3.38372093023256</v>
      </c>
      <c r="I19" s="21" t="n">
        <f aca="false">Calculation!I26</f>
        <v>3</v>
      </c>
      <c r="J19" s="21" t="n">
        <f aca="false">Calculation!J26</f>
        <v>3</v>
      </c>
      <c r="K19" s="21" t="n">
        <f aca="false">Calculation!K26</f>
        <v>3</v>
      </c>
      <c r="L19" s="21" t="n">
        <f aca="false">Calculation!L26</f>
        <v>3</v>
      </c>
      <c r="M19" s="21" t="n">
        <f aca="false">Calculation!M26</f>
        <v>3</v>
      </c>
      <c r="N19" s="21" t="n">
        <f aca="false">Calculation!N26</f>
        <v>3</v>
      </c>
    </row>
    <row r="20" customFormat="false" ht="15" hidden="false" customHeight="false" outlineLevel="0" collapsed="false">
      <c r="B20" s="22" t="str">
        <f aca="false">TEXT(INDEX(Calculation!$C$4:$N$4,$F$14+1),"mmm-yy")&amp;" sells "&amp;INDEX(Calculation!$C$22:$N$22,$F$14+1)&amp;IF(INDEX(Calculation!$C$21:$N$21,$F$14+1)&gt;0,IF(INDEX(Calculation!$C$21:$N$21,$F$14+1)&gt;=INDEX(Calculation!$C$22:$N$22,$F$14+1)," and is "&amp;(INDEX(Calculation!$C$21:$N$21,$F$14+1)-INDEX(Calculation!$C$22:$N$22,$F$14+1))&amp;" short"&amp;" (it starts with "&amp;(INDEX(Calculation!$C$19:$N$19,$F$14+1)+INDEX(Calculation!$C$20:$N$20,$F$14+1))&amp;" cars, and the 3 months after it need "&amp;ROUNDUP(INDEX(Calculation!$C$25:$N$25,$F$14+1),0)&amp;")."&amp;" Order "&amp;INDEX(Calculation!$C$22:$N$22,$F$14+1)&amp;" + "&amp;(INDEX(Calculation!$C$21:$N$21,$F$14+1)-INDEX(Calculation!$C$22:$N$22,$F$14+1))&amp;" = "&amp;INDEX(Calculation!$C$21:$N$21,$F$14+1)&amp;" now."," and has "&amp;(INDEX(Calculation!$C$22:$N$22,$F$14+1)-INDEX(Calculation!$C$21:$N$21,$F$14+1))&amp;" extra"&amp;" (it starts with "&amp;(INDEX(Calculation!$C$19:$N$19,$F$14+1)+INDEX(Calculation!$C$20:$N$20,$F$14+1))&amp;" cars, and the 3 months after it need "&amp;ROUNDUP(INDEX(Calculation!$C$25:$N$25,$F$14+1),0)&amp;")."&amp;" Order "&amp;INDEX(Calculation!$C$22:$N$22,$F$14+1)&amp;" - "&amp;(INDEX(Calculation!$C$22:$N$22,$F$14+1)-INDEX(Calculation!$C$21:$N$21,$F$14+1))&amp;" = "&amp;INDEX(Calculation!$C$21:$N$21,$F$14+1)&amp;" now.")," and has "&amp;((INDEX(Calculation!$C$19:$N$19,$F$14+1)+INDEX(Calculation!$C$20:$N$20,$F$14+1))-ROUNDUP(INDEX(Calculation!$C$25:$N$25,$F$14+1),0))&amp;" extra"&amp;" (it starts with "&amp;(INDEX(Calculation!$C$19:$N$19,$F$14+1)+INDEX(Calculation!$C$20:$N$20,$F$14+1))&amp;" cars, and the 3 months after it need "&amp;ROUNDUP(INDEX(Calculation!$C$25:$N$25,$F$14+1),0)&amp;")."&amp;" The extra covers its sales, so no order is needed now.")</f>
        <v>Feb-27 sells 42 and has 107 extra (it starts with 210 cars, and the 3 months after it need 103). The extra covers its sales, so no order is needed now.</v>
      </c>
    </row>
    <row r="22" customFormat="false" ht="15" hidden="false" customHeight="false" outlineLevel="0" collapsed="false">
      <c r="B22" s="17" t="str">
        <f aca="false">Calculation!B30</f>
        <v>Territory - Titanium</v>
      </c>
      <c r="C22" s="18" t="s">
        <v>53</v>
      </c>
      <c r="D22" s="19" t="n">
        <f aca="false">Calculation!D30</f>
        <v>3</v>
      </c>
      <c r="E22" s="18" t="s">
        <v>54</v>
      </c>
      <c r="F22" s="19" t="n">
        <f aca="false">Calculation!F30</f>
        <v>3</v>
      </c>
      <c r="G22" s="17"/>
      <c r="H22" s="17"/>
      <c r="I22" s="17"/>
      <c r="J22" s="17"/>
      <c r="K22" s="17"/>
      <c r="L22" s="17"/>
      <c r="M22" s="17"/>
      <c r="N22" s="17"/>
    </row>
    <row r="23" customFormat="false" ht="15" hidden="false" customHeight="false" outlineLevel="0" collapsed="false">
      <c r="B23" s="5" t="s">
        <v>55</v>
      </c>
      <c r="C23" s="9" t="n">
        <f aca="false">IF(AND(Calculation!C39="",Calculation!C40=0),"",Calculation!C40+N(Calculation!C39))</f>
        <v>78</v>
      </c>
      <c r="D23" s="9" t="n">
        <f aca="false">IF(AND(Calculation!D39="",Calculation!D40=0),"",Calculation!D40+N(Calculation!D39))</f>
        <v>16</v>
      </c>
      <c r="E23" s="9" t="n">
        <f aca="false">IF(AND(Calculation!E39="",Calculation!E40=0),"",Calculation!E40+N(Calculation!E39))</f>
        <v>15</v>
      </c>
      <c r="F23" s="9" t="n">
        <f aca="false">IF(AND(Calculation!F39="",Calculation!F40=0),"",Calculation!F40+N(Calculation!F39))</f>
        <v>16</v>
      </c>
      <c r="G23" s="9" t="n">
        <f aca="false">IF(AND(Calculation!G39="",Calculation!G40=0),"",Calculation!G40+N(Calculation!G39))</f>
        <v>19</v>
      </c>
      <c r="H23" s="9" t="n">
        <f aca="false">IF(AND(Calculation!H39="",Calculation!H40=0),"",Calculation!H40+N(Calculation!H39))</f>
        <v>20</v>
      </c>
      <c r="I23" s="9" t="n">
        <f aca="false">IF(AND(Calculation!I39="",Calculation!I40=0),"",Calculation!I40+N(Calculation!I39))</f>
        <v>20</v>
      </c>
      <c r="J23" s="9" t="n">
        <f aca="false">IF(AND(Calculation!J39="",Calculation!J40=0),"",Calculation!J40+N(Calculation!J39))</f>
        <v>23</v>
      </c>
      <c r="K23" s="9" t="n">
        <f aca="false">IF(AND(Calculation!K39="",Calculation!K40=0),"",Calculation!K40+N(Calculation!K39))</f>
        <v>21</v>
      </c>
      <c r="L23" s="9" t="str">
        <f aca="false">IF(AND(Calculation!L39="",Calculation!L40=0),"",Calculation!L40+N(Calculation!L39))</f>
        <v/>
      </c>
      <c r="M23" s="9" t="str">
        <f aca="false">IF(AND(Calculation!M39="",Calculation!M40=0),"",Calculation!M40+N(Calculation!M39))</f>
        <v/>
      </c>
      <c r="N23" s="9" t="str">
        <f aca="false">IF(AND(Calculation!N39="",Calculation!N40=0),"",Calculation!N40+N(Calculation!N39))</f>
        <v/>
      </c>
    </row>
    <row r="24" customFormat="false" ht="15" hidden="false" customHeight="false" outlineLevel="0" collapsed="false">
      <c r="B24" s="8" t="s">
        <v>56</v>
      </c>
      <c r="C24" s="20" t="n">
        <f aca="false">Calculation!C32+Calculation!C33</f>
        <v>20</v>
      </c>
      <c r="D24" s="20" t="n">
        <f aca="false">Calculation!D32+Calculation!D33</f>
        <v>23</v>
      </c>
      <c r="E24" s="20" t="n">
        <f aca="false">Calculation!E32+Calculation!E33</f>
        <v>21</v>
      </c>
      <c r="F24" s="20" t="n">
        <f aca="false">Calculation!F32+Calculation!F33</f>
        <v>78</v>
      </c>
      <c r="G24" s="20" t="n">
        <f aca="false">Calculation!G32+Calculation!G33</f>
        <v>16</v>
      </c>
      <c r="H24" s="20" t="n">
        <f aca="false">Calculation!H32+Calculation!H33</f>
        <v>15</v>
      </c>
      <c r="I24" s="20" t="n">
        <f aca="false">Calculation!I32+Calculation!I33</f>
        <v>16</v>
      </c>
      <c r="J24" s="20" t="n">
        <f aca="false">Calculation!J32+Calculation!J33</f>
        <v>19</v>
      </c>
      <c r="K24" s="20" t="n">
        <f aca="false">Calculation!K32+Calculation!K33</f>
        <v>20</v>
      </c>
      <c r="L24" s="20" t="n">
        <f aca="false">Calculation!L32+Calculation!L33</f>
        <v>20</v>
      </c>
      <c r="M24" s="20" t="n">
        <f aca="false">Calculation!M32+Calculation!M33</f>
        <v>23</v>
      </c>
      <c r="N24" s="20" t="n">
        <f aca="false">Calculation!N32+Calculation!N33</f>
        <v>21</v>
      </c>
    </row>
    <row r="25" customFormat="false" ht="15" hidden="false" customHeight="false" outlineLevel="0" collapsed="false">
      <c r="B25" s="8" t="s">
        <v>57</v>
      </c>
      <c r="C25" s="20" t="n">
        <f aca="false">Calculation!C34</f>
        <v>20</v>
      </c>
      <c r="D25" s="20" t="n">
        <f aca="false">Calculation!D34</f>
        <v>23</v>
      </c>
      <c r="E25" s="20" t="n">
        <f aca="false">Calculation!E34</f>
        <v>21</v>
      </c>
      <c r="F25" s="20" t="n">
        <f aca="false">Calculation!F34</f>
        <v>24</v>
      </c>
      <c r="G25" s="20" t="n">
        <f aca="false">Calculation!G34</f>
        <v>22</v>
      </c>
      <c r="H25" s="20" t="n">
        <f aca="false">Calculation!H34</f>
        <v>59</v>
      </c>
      <c r="I25" s="20" t="n">
        <f aca="false">Calculation!I34</f>
        <v>18</v>
      </c>
      <c r="J25" s="20" t="n">
        <f aca="false">Calculation!J34</f>
        <v>16</v>
      </c>
      <c r="K25" s="20" t="n">
        <f aca="false">Calculation!K34</f>
        <v>15</v>
      </c>
      <c r="L25" s="20" t="n">
        <f aca="false">Calculation!L34</f>
        <v>16</v>
      </c>
      <c r="M25" s="20" t="n">
        <f aca="false">Calculation!M34</f>
        <v>19</v>
      </c>
      <c r="N25" s="20" t="n">
        <f aca="false">Calculation!N34</f>
        <v>20</v>
      </c>
    </row>
    <row r="26" customFormat="false" ht="15" hidden="false" customHeight="false" outlineLevel="0" collapsed="false">
      <c r="B26" s="5" t="s">
        <v>58</v>
      </c>
      <c r="C26" s="9" t="n">
        <f aca="false">Calculation!C35</f>
        <v>45</v>
      </c>
      <c r="D26" s="9" t="n">
        <f aca="false">Calculation!D35</f>
        <v>45</v>
      </c>
      <c r="E26" s="9" t="n">
        <f aca="false">Calculation!E35</f>
        <v>45</v>
      </c>
      <c r="F26" s="9" t="n">
        <f aca="false">Calculation!F35</f>
        <v>99</v>
      </c>
      <c r="G26" s="9" t="n">
        <f aca="false">Calculation!G35</f>
        <v>93</v>
      </c>
      <c r="H26" s="9" t="n">
        <f aca="false">Calculation!H35</f>
        <v>49</v>
      </c>
      <c r="I26" s="9" t="n">
        <f aca="false">Calculation!I35</f>
        <v>47</v>
      </c>
      <c r="J26" s="9" t="n">
        <f aca="false">Calculation!J35</f>
        <v>50</v>
      </c>
      <c r="K26" s="9" t="n">
        <f aca="false">Calculation!K35</f>
        <v>55</v>
      </c>
      <c r="L26" s="9" t="n">
        <f aca="false">Calculation!L35</f>
        <v>59</v>
      </c>
      <c r="M26" s="9" t="n">
        <f aca="false">Calculation!M35</f>
        <v>63</v>
      </c>
      <c r="N26" s="9" t="n">
        <f aca="false">Calculation!N35</f>
        <v>64</v>
      </c>
    </row>
    <row r="27" customFormat="false" ht="15" hidden="false" customHeight="false" outlineLevel="0" collapsed="false">
      <c r="B27" s="5" t="s">
        <v>59</v>
      </c>
      <c r="C27" s="21" t="n">
        <f aca="false">Calculation!C38</f>
        <v>1.98529411764706</v>
      </c>
      <c r="D27" s="21" t="n">
        <f aca="false">Calculation!D38</f>
        <v>2.01492537313433</v>
      </c>
      <c r="E27" s="21" t="n">
        <f aca="false">Calculation!E38</f>
        <v>1.28571428571429</v>
      </c>
      <c r="F27" s="21" t="n">
        <f aca="false">Calculation!F38</f>
        <v>3</v>
      </c>
      <c r="G27" s="21" t="n">
        <f aca="false">Calculation!G38</f>
        <v>3</v>
      </c>
      <c r="H27" s="21" t="n">
        <f aca="false">Calculation!H38</f>
        <v>3</v>
      </c>
      <c r="I27" s="21" t="n">
        <f aca="false">Calculation!I38</f>
        <v>3</v>
      </c>
      <c r="J27" s="21" t="n">
        <f aca="false">Calculation!J38</f>
        <v>3</v>
      </c>
      <c r="K27" s="21" t="n">
        <f aca="false">Calculation!K38</f>
        <v>3</v>
      </c>
      <c r="L27" s="21" t="n">
        <f aca="false">Calculation!L38</f>
        <v>3</v>
      </c>
      <c r="M27" s="21" t="n">
        <f aca="false">Calculation!M38</f>
        <v>3</v>
      </c>
      <c r="N27" s="21" t="n">
        <f aca="false">Calculation!N38</f>
        <v>3</v>
      </c>
    </row>
    <row r="28" customFormat="false" ht="15" hidden="false" customHeight="false" outlineLevel="0" collapsed="false">
      <c r="B28" s="22" t="str">
        <f aca="false">TEXT(INDEX(Calculation!$C$4:$N$4,$F$22+1),"mmm-yy")&amp;" sells "&amp;INDEX(Calculation!$C$34:$N$34,$F$22+1)&amp;IF(INDEX(Calculation!$C$33:$N$33,$F$22+1)&gt;0,IF(INDEX(Calculation!$C$33:$N$33,$F$22+1)&gt;=INDEX(Calculation!$C$34:$N$34,$F$22+1)," and is "&amp;(INDEX(Calculation!$C$33:$N$33,$F$22+1)-INDEX(Calculation!$C$34:$N$34,$F$22+1))&amp;" short"&amp;" (it starts with "&amp;(INDEX(Calculation!$C$31:$N$31,$F$22+1)+INDEX(Calculation!$C$32:$N$32,$F$22+1))&amp;" cars, and the 3 months after it need "&amp;ROUNDUP(INDEX(Calculation!$C$37:$N$37,$F$22+1),0)&amp;")."&amp;" Order "&amp;INDEX(Calculation!$C$34:$N$34,$F$22+1)&amp;" + "&amp;(INDEX(Calculation!$C$33:$N$33,$F$22+1)-INDEX(Calculation!$C$34:$N$34,$F$22+1))&amp;" = "&amp;INDEX(Calculation!$C$33:$N$33,$F$22+1)&amp;" now."," and has "&amp;(INDEX(Calculation!$C$34:$N$34,$F$22+1)-INDEX(Calculation!$C$33:$N$33,$F$22+1))&amp;" extra"&amp;" (it starts with "&amp;(INDEX(Calculation!$C$31:$N$31,$F$22+1)+INDEX(Calculation!$C$32:$N$32,$F$22+1))&amp;" cars, and the 3 months after it need "&amp;ROUNDUP(INDEX(Calculation!$C$37:$N$37,$F$22+1),0)&amp;")."&amp;" Order "&amp;INDEX(Calculation!$C$34:$N$34,$F$22+1)&amp;" - "&amp;(INDEX(Calculation!$C$34:$N$34,$F$22+1)-INDEX(Calculation!$C$33:$N$33,$F$22+1))&amp;" = "&amp;INDEX(Calculation!$C$33:$N$33,$F$22+1)&amp;" now.")," and has "&amp;((INDEX(Calculation!$C$31:$N$31,$F$22+1)+INDEX(Calculation!$C$32:$N$32,$F$22+1))-ROUNDUP(INDEX(Calculation!$C$37:$N$37,$F$22+1),0))&amp;" extra"&amp;" (it starts with "&amp;(INDEX(Calculation!$C$31:$N$31,$F$22+1)+INDEX(Calculation!$C$32:$N$32,$F$22+1))&amp;" cars, and the 3 months after it need "&amp;ROUNDUP(INDEX(Calculation!$C$37:$N$37,$F$22+1),0)&amp;")."&amp;" The extra covers its sales, so no order is needed now.")</f>
        <v>Feb-27 sells 24 and is 54 short (it starts with 45 cars, and the 3 months after it need 99). Order 24 + 54 = 78 now.</v>
      </c>
    </row>
    <row r="30" customFormat="false" ht="15" hidden="false" customHeight="false" outlineLevel="0" collapsed="false">
      <c r="B30" s="17" t="str">
        <f aca="false">Calculation!B42</f>
        <v>Bronco - Big Bend 2-door</v>
      </c>
      <c r="C30" s="18" t="s">
        <v>53</v>
      </c>
      <c r="D30" s="19" t="n">
        <f aca="false">Calculation!D42</f>
        <v>2</v>
      </c>
      <c r="E30" s="18" t="s">
        <v>54</v>
      </c>
      <c r="F30" s="19" t="n">
        <f aca="false">Calculation!F42</f>
        <v>3</v>
      </c>
      <c r="G30" s="17"/>
      <c r="H30" s="17"/>
      <c r="I30" s="17"/>
      <c r="J30" s="17"/>
      <c r="K30" s="17"/>
      <c r="L30" s="17"/>
      <c r="M30" s="17"/>
      <c r="N30" s="17"/>
    </row>
    <row r="31" customFormat="false" ht="15" hidden="false" customHeight="false" outlineLevel="0" collapsed="false">
      <c r="B31" s="5" t="s">
        <v>55</v>
      </c>
      <c r="C31" s="9" t="n">
        <f aca="false">IF(AND(Calculation!C51="",Calculation!C52=0),"",Calculation!C52+N(Calculation!C51))</f>
        <v>5</v>
      </c>
      <c r="D31" s="9" t="n">
        <f aca="false">IF(AND(Calculation!D51="",Calculation!D52=0),"",Calculation!D52+N(Calculation!D51))</f>
        <v>6</v>
      </c>
      <c r="E31" s="9" t="n">
        <f aca="false">IF(AND(Calculation!E51="",Calculation!E52=0),"",Calculation!E52+N(Calculation!E51))</f>
        <v>5</v>
      </c>
      <c r="F31" s="9" t="n">
        <f aca="false">IF(AND(Calculation!F51="",Calculation!F52=0),"",Calculation!F52+N(Calculation!F51))</f>
        <v>5</v>
      </c>
      <c r="G31" s="9" t="n">
        <f aca="false">IF(AND(Calculation!G51="",Calculation!G52=0),"",Calculation!G52+N(Calculation!G51))</f>
        <v>5</v>
      </c>
      <c r="H31" s="9" t="n">
        <f aca="false">IF(AND(Calculation!H51="",Calculation!H52=0),"",Calculation!H52+N(Calculation!H51))</f>
        <v>6</v>
      </c>
      <c r="I31" s="9" t="n">
        <f aca="false">IF(AND(Calculation!I51="",Calculation!I52=0),"",Calculation!I52+N(Calculation!I51))</f>
        <v>5</v>
      </c>
      <c r="J31" s="9" t="n">
        <f aca="false">IF(AND(Calculation!J51="",Calculation!J52=0),"",Calculation!J52+N(Calculation!J51))</f>
        <v>7</v>
      </c>
      <c r="K31" s="9" t="n">
        <f aca="false">IF(AND(Calculation!K51="",Calculation!K52=0),"",Calculation!K52+N(Calculation!K51))</f>
        <v>6</v>
      </c>
      <c r="L31" s="9" t="str">
        <f aca="false">IF(AND(Calculation!L51="",Calculation!L52=0),"",Calculation!L52+N(Calculation!L51))</f>
        <v/>
      </c>
      <c r="M31" s="9" t="str">
        <f aca="false">IF(AND(Calculation!M51="",Calculation!M52=0),"",Calculation!M52+N(Calculation!M51))</f>
        <v/>
      </c>
      <c r="N31" s="9" t="str">
        <f aca="false">IF(AND(Calculation!N51="",Calculation!N52=0),"",Calculation!N52+N(Calculation!N51))</f>
        <v/>
      </c>
    </row>
    <row r="32" customFormat="false" ht="15" hidden="false" customHeight="false" outlineLevel="0" collapsed="false">
      <c r="B32" s="8" t="s">
        <v>56</v>
      </c>
      <c r="C32" s="20" t="n">
        <f aca="false">Calculation!C44+Calculation!C45</f>
        <v>6</v>
      </c>
      <c r="D32" s="20" t="n">
        <f aca="false">Calculation!D44+Calculation!D45</f>
        <v>7</v>
      </c>
      <c r="E32" s="20" t="n">
        <f aca="false">Calculation!E44+Calculation!E45</f>
        <v>6</v>
      </c>
      <c r="F32" s="20" t="n">
        <f aca="false">Calculation!F44+Calculation!F45</f>
        <v>5</v>
      </c>
      <c r="G32" s="20" t="n">
        <f aca="false">Calculation!G44+Calculation!G45</f>
        <v>6</v>
      </c>
      <c r="H32" s="20" t="n">
        <f aca="false">Calculation!H44+Calculation!H45</f>
        <v>5</v>
      </c>
      <c r="I32" s="20" t="n">
        <f aca="false">Calculation!I44+Calculation!I45</f>
        <v>5</v>
      </c>
      <c r="J32" s="20" t="n">
        <f aca="false">Calculation!J44+Calculation!J45</f>
        <v>5</v>
      </c>
      <c r="K32" s="20" t="n">
        <f aca="false">Calculation!K44+Calculation!K45</f>
        <v>6</v>
      </c>
      <c r="L32" s="20" t="n">
        <f aca="false">Calculation!L44+Calculation!L45</f>
        <v>5</v>
      </c>
      <c r="M32" s="20" t="n">
        <f aca="false">Calculation!M44+Calculation!M45</f>
        <v>7</v>
      </c>
      <c r="N32" s="20" t="n">
        <f aca="false">Calculation!N44+Calculation!N45</f>
        <v>6</v>
      </c>
    </row>
    <row r="33" customFormat="false" ht="15" hidden="false" customHeight="false" outlineLevel="0" collapsed="false">
      <c r="B33" s="8" t="s">
        <v>57</v>
      </c>
      <c r="C33" s="20" t="n">
        <f aca="false">Calculation!C46</f>
        <v>6</v>
      </c>
      <c r="D33" s="20" t="n">
        <f aca="false">Calculation!D46</f>
        <v>7</v>
      </c>
      <c r="E33" s="20" t="n">
        <f aca="false">Calculation!E46</f>
        <v>6</v>
      </c>
      <c r="F33" s="20" t="n">
        <f aca="false">Calculation!F46</f>
        <v>7</v>
      </c>
      <c r="G33" s="20" t="n">
        <f aca="false">Calculation!G46</f>
        <v>7</v>
      </c>
      <c r="H33" s="20" t="n">
        <f aca="false">Calculation!H46</f>
        <v>6</v>
      </c>
      <c r="I33" s="20" t="n">
        <f aca="false">Calculation!I46</f>
        <v>5</v>
      </c>
      <c r="J33" s="20" t="n">
        <f aca="false">Calculation!J46</f>
        <v>5</v>
      </c>
      <c r="K33" s="20" t="n">
        <f aca="false">Calculation!K46</f>
        <v>4</v>
      </c>
      <c r="L33" s="20" t="n">
        <f aca="false">Calculation!L46</f>
        <v>5</v>
      </c>
      <c r="M33" s="20" t="n">
        <f aca="false">Calculation!M46</f>
        <v>6</v>
      </c>
      <c r="N33" s="20" t="n">
        <f aca="false">Calculation!N46</f>
        <v>6</v>
      </c>
    </row>
    <row r="34" customFormat="false" ht="15" hidden="false" customHeight="false" outlineLevel="0" collapsed="false">
      <c r="B34" s="5" t="s">
        <v>58</v>
      </c>
      <c r="C34" s="9" t="n">
        <f aca="false">Calculation!C47</f>
        <v>14</v>
      </c>
      <c r="D34" s="9" t="n">
        <f aca="false">Calculation!D47</f>
        <v>14</v>
      </c>
      <c r="E34" s="9" t="n">
        <f aca="false">Calculation!E47</f>
        <v>14</v>
      </c>
      <c r="F34" s="9" t="n">
        <f aca="false">Calculation!F47</f>
        <v>12</v>
      </c>
      <c r="G34" s="9" t="n">
        <f aca="false">Calculation!G47</f>
        <v>11</v>
      </c>
      <c r="H34" s="9" t="n">
        <f aca="false">Calculation!H47</f>
        <v>10</v>
      </c>
      <c r="I34" s="9" t="n">
        <f aca="false">Calculation!I47</f>
        <v>10</v>
      </c>
      <c r="J34" s="9" t="n">
        <f aca="false">Calculation!J47</f>
        <v>10</v>
      </c>
      <c r="K34" s="9" t="n">
        <f aca="false">Calculation!K47</f>
        <v>12</v>
      </c>
      <c r="L34" s="9" t="n">
        <f aca="false">Calculation!L47</f>
        <v>12</v>
      </c>
      <c r="M34" s="9" t="n">
        <f aca="false">Calculation!M47</f>
        <v>13</v>
      </c>
      <c r="N34" s="9" t="n">
        <f aca="false">Calculation!N47</f>
        <v>13</v>
      </c>
    </row>
    <row r="35" customFormat="false" ht="15" hidden="false" customHeight="false" outlineLevel="0" collapsed="false">
      <c r="B35" s="5" t="s">
        <v>59</v>
      </c>
      <c r="C35" s="21" t="n">
        <f aca="false">Calculation!C50</f>
        <v>2.1</v>
      </c>
      <c r="D35" s="21" t="n">
        <f aca="false">Calculation!D50</f>
        <v>2.1</v>
      </c>
      <c r="E35" s="21" t="n">
        <f aca="false">Calculation!E50</f>
        <v>2.1</v>
      </c>
      <c r="F35" s="21" t="n">
        <f aca="false">Calculation!F50</f>
        <v>2</v>
      </c>
      <c r="G35" s="21" t="n">
        <f aca="false">Calculation!G50</f>
        <v>2.0625</v>
      </c>
      <c r="H35" s="21" t="n">
        <f aca="false">Calculation!H50</f>
        <v>2.14285714285714</v>
      </c>
      <c r="I35" s="21" t="n">
        <f aca="false">Calculation!I50</f>
        <v>2.14285714285714</v>
      </c>
      <c r="J35" s="21" t="n">
        <f aca="false">Calculation!J50</f>
        <v>2</v>
      </c>
      <c r="K35" s="21" t="n">
        <f aca="false">Calculation!K50</f>
        <v>2.11764705882353</v>
      </c>
      <c r="L35" s="21" t="n">
        <f aca="false">Calculation!L50</f>
        <v>2</v>
      </c>
      <c r="M35" s="21" t="n">
        <f aca="false">Calculation!M50</f>
        <v>2.05263157894737</v>
      </c>
      <c r="N35" s="21" t="n">
        <f aca="false">Calculation!N50</f>
        <v>2.05263157894737</v>
      </c>
    </row>
    <row r="36" customFormat="false" ht="15" hidden="false" customHeight="false" outlineLevel="0" collapsed="false">
      <c r="B36" s="22" t="str">
        <f aca="false">TEXT(INDEX(Calculation!$C$4:$N$4,$F$30+1),"mmm-yy")&amp;" sells "&amp;INDEX(Calculation!$C$46:$N$46,$F$30+1)&amp;IF(INDEX(Calculation!$C$45:$N$45,$F$30+1)&gt;0,IF(INDEX(Calculation!$C$45:$N$45,$F$30+1)&gt;=INDEX(Calculation!$C$46:$N$46,$F$30+1)," and is "&amp;(INDEX(Calculation!$C$45:$N$45,$F$30+1)-INDEX(Calculation!$C$46:$N$46,$F$30+1))&amp;" short"&amp;" (it starts with "&amp;(INDEX(Calculation!$C$43:$N$43,$F$30+1)+INDEX(Calculation!$C$44:$N$44,$F$30+1))&amp;" cars, and the 3 months after it need "&amp;ROUNDUP(INDEX(Calculation!$C$49:$N$49,$F$30+1),0)&amp;")."&amp;" Order "&amp;INDEX(Calculation!$C$46:$N$46,$F$30+1)&amp;" + "&amp;(INDEX(Calculation!$C$45:$N$45,$F$30+1)-INDEX(Calculation!$C$46:$N$46,$F$30+1))&amp;" = "&amp;INDEX(Calculation!$C$45:$N$45,$F$30+1)&amp;" now."," and has "&amp;(INDEX(Calculation!$C$46:$N$46,$F$30+1)-INDEX(Calculation!$C$45:$N$45,$F$30+1))&amp;" extra"&amp;" (it starts with "&amp;(INDEX(Calculation!$C$43:$N$43,$F$30+1)+INDEX(Calculation!$C$44:$N$44,$F$30+1))&amp;" cars, and the 3 months after it need "&amp;ROUNDUP(INDEX(Calculation!$C$49:$N$49,$F$30+1),0)&amp;")."&amp;" Order "&amp;INDEX(Calculation!$C$46:$N$46,$F$30+1)&amp;" - "&amp;(INDEX(Calculation!$C$46:$N$46,$F$30+1)-INDEX(Calculation!$C$45:$N$45,$F$30+1))&amp;" = "&amp;INDEX(Calculation!$C$45:$N$45,$F$30+1)&amp;" now.")," and has "&amp;((INDEX(Calculation!$C$43:$N$43,$F$30+1)+INDEX(Calculation!$C$44:$N$44,$F$30+1))-ROUNDUP(INDEX(Calculation!$C$49:$N$49,$F$30+1),0))&amp;" extra"&amp;" (it starts with "&amp;(INDEX(Calculation!$C$43:$N$43,$F$30+1)+INDEX(Calculation!$C$44:$N$44,$F$30+1))&amp;" cars, and the 3 months after it need "&amp;ROUNDUP(INDEX(Calculation!$C$49:$N$49,$F$30+1),0)&amp;")."&amp;" The extra covers its sales, so no order is needed now.")</f>
        <v>Feb-27 sells 7 and has 2 extra (it starts with 14 cars, and the 3 months after it need 12). Order 7 - 2 = 5 now.</v>
      </c>
    </row>
    <row r="38" customFormat="false" ht="15" hidden="false" customHeight="false" outlineLevel="0" collapsed="false">
      <c r="B38" s="17" t="str">
        <f aca="false">Calculation!B54</f>
        <v>Bronco - Big Bend 4-door</v>
      </c>
      <c r="C38" s="18" t="s">
        <v>53</v>
      </c>
      <c r="D38" s="19" t="n">
        <f aca="false">Calculation!D54</f>
        <v>2</v>
      </c>
      <c r="E38" s="18" t="s">
        <v>54</v>
      </c>
      <c r="F38" s="19" t="n">
        <f aca="false">Calculation!F54</f>
        <v>3</v>
      </c>
      <c r="G38" s="17"/>
      <c r="H38" s="17"/>
      <c r="I38" s="17"/>
      <c r="J38" s="17"/>
      <c r="K38" s="17"/>
      <c r="L38" s="17"/>
      <c r="M38" s="17"/>
      <c r="N38" s="17"/>
    </row>
    <row r="39" customFormat="false" ht="15" hidden="false" customHeight="false" outlineLevel="0" collapsed="false">
      <c r="B39" s="5" t="s">
        <v>55</v>
      </c>
      <c r="C39" s="9" t="n">
        <f aca="false">IF(AND(Calculation!C63="",Calculation!C64=0),"",Calculation!C64+N(Calculation!C63))</f>
        <v>7</v>
      </c>
      <c r="D39" s="9" t="n">
        <f aca="false">IF(AND(Calculation!D63="",Calculation!D64=0),"",Calculation!D64+N(Calculation!D63))</f>
        <v>9</v>
      </c>
      <c r="E39" s="9" t="n">
        <f aca="false">IF(AND(Calculation!E63="",Calculation!E64=0),"",Calculation!E64+N(Calculation!E63))</f>
        <v>9</v>
      </c>
      <c r="F39" s="9" t="n">
        <f aca="false">IF(AND(Calculation!F63="",Calculation!F64=0),"",Calculation!F64+N(Calculation!F63))</f>
        <v>8</v>
      </c>
      <c r="G39" s="9" t="n">
        <f aca="false">IF(AND(Calculation!G63="",Calculation!G64=0),"",Calculation!G64+N(Calculation!G63))</f>
        <v>10</v>
      </c>
      <c r="H39" s="9" t="n">
        <f aca="false">IF(AND(Calculation!H63="",Calculation!H64=0),"",Calculation!H64+N(Calculation!H63))</f>
        <v>9</v>
      </c>
      <c r="I39" s="9" t="n">
        <f aca="false">IF(AND(Calculation!I63="",Calculation!I64=0),"",Calculation!I64+N(Calculation!I63))</f>
        <v>9</v>
      </c>
      <c r="J39" s="9" t="n">
        <f aca="false">IF(AND(Calculation!J63="",Calculation!J64=0),"",Calculation!J64+N(Calculation!J63))</f>
        <v>12</v>
      </c>
      <c r="K39" s="9" t="n">
        <f aca="false">IF(AND(Calculation!K63="",Calculation!K64=0),"",Calculation!K64+N(Calculation!K63))</f>
        <v>10</v>
      </c>
      <c r="L39" s="9" t="str">
        <f aca="false">IF(AND(Calculation!L63="",Calculation!L64=0),"",Calculation!L64+N(Calculation!L63))</f>
        <v/>
      </c>
      <c r="M39" s="9" t="str">
        <f aca="false">IF(AND(Calculation!M63="",Calculation!M64=0),"",Calculation!M64+N(Calculation!M63))</f>
        <v/>
      </c>
      <c r="N39" s="9" t="str">
        <f aca="false">IF(AND(Calculation!N63="",Calculation!N64=0),"",Calculation!N64+N(Calculation!N63))</f>
        <v/>
      </c>
    </row>
    <row r="40" customFormat="false" ht="15" hidden="false" customHeight="false" outlineLevel="0" collapsed="false">
      <c r="B40" s="8" t="s">
        <v>56</v>
      </c>
      <c r="C40" s="20" t="n">
        <f aca="false">Calculation!C56+Calculation!C57</f>
        <v>10</v>
      </c>
      <c r="D40" s="20" t="n">
        <f aca="false">Calculation!D56+Calculation!D57</f>
        <v>12</v>
      </c>
      <c r="E40" s="20" t="n">
        <f aca="false">Calculation!E56+Calculation!E57</f>
        <v>10</v>
      </c>
      <c r="F40" s="20" t="n">
        <f aca="false">Calculation!F56+Calculation!F57</f>
        <v>7</v>
      </c>
      <c r="G40" s="20" t="n">
        <f aca="false">Calculation!G56+Calculation!G57</f>
        <v>9</v>
      </c>
      <c r="H40" s="20" t="n">
        <f aca="false">Calculation!H56+Calculation!H57</f>
        <v>9</v>
      </c>
      <c r="I40" s="20" t="n">
        <f aca="false">Calculation!I56+Calculation!I57</f>
        <v>8</v>
      </c>
      <c r="J40" s="20" t="n">
        <f aca="false">Calculation!J56+Calculation!J57</f>
        <v>10</v>
      </c>
      <c r="K40" s="20" t="n">
        <f aca="false">Calculation!K56+Calculation!K57</f>
        <v>9</v>
      </c>
      <c r="L40" s="20" t="n">
        <f aca="false">Calculation!L56+Calculation!L57</f>
        <v>9</v>
      </c>
      <c r="M40" s="20" t="n">
        <f aca="false">Calculation!M56+Calculation!M57</f>
        <v>12</v>
      </c>
      <c r="N40" s="20" t="n">
        <f aca="false">Calculation!N56+Calculation!N57</f>
        <v>10</v>
      </c>
    </row>
    <row r="41" customFormat="false" ht="15" hidden="false" customHeight="false" outlineLevel="0" collapsed="false">
      <c r="B41" s="8" t="s">
        <v>57</v>
      </c>
      <c r="C41" s="20" t="n">
        <f aca="false">Calculation!C58</f>
        <v>10</v>
      </c>
      <c r="D41" s="20" t="n">
        <f aca="false">Calculation!D58</f>
        <v>12</v>
      </c>
      <c r="E41" s="20" t="n">
        <f aca="false">Calculation!E58</f>
        <v>10</v>
      </c>
      <c r="F41" s="20" t="n">
        <f aca="false">Calculation!F58</f>
        <v>12</v>
      </c>
      <c r="G41" s="20" t="n">
        <f aca="false">Calculation!G58</f>
        <v>11</v>
      </c>
      <c r="H41" s="20" t="n">
        <f aca="false">Calculation!H58</f>
        <v>10</v>
      </c>
      <c r="I41" s="20" t="n">
        <f aca="false">Calculation!I58</f>
        <v>9</v>
      </c>
      <c r="J41" s="20" t="n">
        <f aca="false">Calculation!J58</f>
        <v>8</v>
      </c>
      <c r="K41" s="20" t="n">
        <f aca="false">Calculation!K58</f>
        <v>8</v>
      </c>
      <c r="L41" s="20" t="n">
        <f aca="false">Calculation!L58</f>
        <v>8</v>
      </c>
      <c r="M41" s="20" t="n">
        <f aca="false">Calculation!M58</f>
        <v>10</v>
      </c>
      <c r="N41" s="20" t="n">
        <f aca="false">Calculation!N58</f>
        <v>10</v>
      </c>
    </row>
    <row r="42" customFormat="false" ht="15" hidden="false" customHeight="false" outlineLevel="0" collapsed="false">
      <c r="B42" s="5" t="s">
        <v>58</v>
      </c>
      <c r="C42" s="9" t="n">
        <f aca="false">Calculation!C59</f>
        <v>25</v>
      </c>
      <c r="D42" s="9" t="n">
        <f aca="false">Calculation!D59</f>
        <v>25</v>
      </c>
      <c r="E42" s="9" t="n">
        <f aca="false">Calculation!E59</f>
        <v>25</v>
      </c>
      <c r="F42" s="9" t="n">
        <f aca="false">Calculation!F59</f>
        <v>20</v>
      </c>
      <c r="G42" s="9" t="n">
        <f aca="false">Calculation!G59</f>
        <v>18</v>
      </c>
      <c r="H42" s="9" t="n">
        <f aca="false">Calculation!H59</f>
        <v>17</v>
      </c>
      <c r="I42" s="9" t="n">
        <f aca="false">Calculation!I59</f>
        <v>16</v>
      </c>
      <c r="J42" s="9" t="n">
        <f aca="false">Calculation!J59</f>
        <v>18</v>
      </c>
      <c r="K42" s="9" t="n">
        <f aca="false">Calculation!K59</f>
        <v>19</v>
      </c>
      <c r="L42" s="9" t="n">
        <f aca="false">Calculation!L59</f>
        <v>20</v>
      </c>
      <c r="M42" s="9" t="n">
        <f aca="false">Calculation!M59</f>
        <v>22</v>
      </c>
      <c r="N42" s="9" t="n">
        <f aca="false">Calculation!N59</f>
        <v>22</v>
      </c>
    </row>
    <row r="43" customFormat="false" ht="15" hidden="false" customHeight="false" outlineLevel="0" collapsed="false">
      <c r="B43" s="5" t="s">
        <v>59</v>
      </c>
      <c r="C43" s="21" t="n">
        <f aca="false">Calculation!C62</f>
        <v>2.20588235294118</v>
      </c>
      <c r="D43" s="21" t="n">
        <f aca="false">Calculation!D62</f>
        <v>2.27272727272727</v>
      </c>
      <c r="E43" s="21" t="n">
        <f aca="false">Calculation!E62</f>
        <v>2.27272727272727</v>
      </c>
      <c r="F43" s="21" t="n">
        <f aca="false">Calculation!F62</f>
        <v>2</v>
      </c>
      <c r="G43" s="21" t="n">
        <f aca="false">Calculation!G62</f>
        <v>2</v>
      </c>
      <c r="H43" s="21" t="n">
        <f aca="false">Calculation!H62</f>
        <v>2.04</v>
      </c>
      <c r="I43" s="21" t="n">
        <f aca="false">Calculation!I62</f>
        <v>2</v>
      </c>
      <c r="J43" s="21" t="n">
        <f aca="false">Calculation!J62</f>
        <v>2.07692307692308</v>
      </c>
      <c r="K43" s="21" t="n">
        <f aca="false">Calculation!K62</f>
        <v>2.03571428571429</v>
      </c>
      <c r="L43" s="21" t="n">
        <f aca="false">Calculation!L62</f>
        <v>2</v>
      </c>
      <c r="M43" s="21" t="n">
        <f aca="false">Calculation!M62</f>
        <v>2.0625</v>
      </c>
      <c r="N43" s="21" t="n">
        <f aca="false">Calculation!N62</f>
        <v>2.0625</v>
      </c>
    </row>
    <row r="44" customFormat="false" ht="15" hidden="false" customHeight="false" outlineLevel="0" collapsed="false">
      <c r="B44" s="22" t="str">
        <f aca="false">TEXT(INDEX(Calculation!$C$4:$N$4,$F$38+1),"mmm-yy")&amp;" sells "&amp;INDEX(Calculation!$C$58:$N$58,$F$38+1)&amp;IF(INDEX(Calculation!$C$57:$N$57,$F$38+1)&gt;0,IF(INDEX(Calculation!$C$57:$N$57,$F$38+1)&gt;=INDEX(Calculation!$C$58:$N$58,$F$38+1)," and is "&amp;(INDEX(Calculation!$C$57:$N$57,$F$38+1)-INDEX(Calculation!$C$58:$N$58,$F$38+1))&amp;" short"&amp;" (it starts with "&amp;(INDEX(Calculation!$C$55:$N$55,$F$38+1)+INDEX(Calculation!$C$56:$N$56,$F$38+1))&amp;" cars, and the 3 months after it need "&amp;ROUNDUP(INDEX(Calculation!$C$61:$N$61,$F$38+1),0)&amp;")."&amp;" Order "&amp;INDEX(Calculation!$C$58:$N$58,$F$38+1)&amp;" + "&amp;(INDEX(Calculation!$C$57:$N$57,$F$38+1)-INDEX(Calculation!$C$58:$N$58,$F$38+1))&amp;" = "&amp;INDEX(Calculation!$C$57:$N$57,$F$38+1)&amp;" now."," and has "&amp;(INDEX(Calculation!$C$58:$N$58,$F$38+1)-INDEX(Calculation!$C$57:$N$57,$F$38+1))&amp;" extra"&amp;" (it starts with "&amp;(INDEX(Calculation!$C$55:$N$55,$F$38+1)+INDEX(Calculation!$C$56:$N$56,$F$38+1))&amp;" cars, and the 3 months after it need "&amp;ROUNDUP(INDEX(Calculation!$C$61:$N$61,$F$38+1),0)&amp;")."&amp;" Order "&amp;INDEX(Calculation!$C$58:$N$58,$F$38+1)&amp;" - "&amp;(INDEX(Calculation!$C$58:$N$58,$F$38+1)-INDEX(Calculation!$C$57:$N$57,$F$38+1))&amp;" = "&amp;INDEX(Calculation!$C$57:$N$57,$F$38+1)&amp;" now.")," and has "&amp;((INDEX(Calculation!$C$55:$N$55,$F$38+1)+INDEX(Calculation!$C$56:$N$56,$F$38+1))-ROUNDUP(INDEX(Calculation!$C$61:$N$61,$F$38+1),0))&amp;" extra"&amp;" (it starts with "&amp;(INDEX(Calculation!$C$55:$N$55,$F$38+1)+INDEX(Calculation!$C$56:$N$56,$F$38+1))&amp;" cars, and the 3 months after it need "&amp;ROUNDUP(INDEX(Calculation!$C$61:$N$61,$F$38+1),0)&amp;")."&amp;" The extra covers its sales, so no order is needed now.")</f>
        <v>Feb-27 sells 12 and has 5 extra (it starts with 25 cars, and the 3 months after it need 20). Order 12 - 5 = 7 now.</v>
      </c>
    </row>
    <row r="46" customFormat="false" ht="15" hidden="false" customHeight="false" outlineLevel="0" collapsed="false">
      <c r="B46" s="17" t="str">
        <f aca="false">Calculation!B66</f>
        <v>Bronco - Outer Banks</v>
      </c>
      <c r="C46" s="18" t="s">
        <v>53</v>
      </c>
      <c r="D46" s="19" t="n">
        <f aca="false">Calculation!D66</f>
        <v>2</v>
      </c>
      <c r="E46" s="18" t="s">
        <v>54</v>
      </c>
      <c r="F46" s="19" t="n">
        <f aca="false">Calculation!F66</f>
        <v>3</v>
      </c>
      <c r="G46" s="17"/>
      <c r="H46" s="17"/>
      <c r="I46" s="17"/>
      <c r="J46" s="17"/>
      <c r="K46" s="17"/>
      <c r="L46" s="17"/>
      <c r="M46" s="17"/>
      <c r="N46" s="17"/>
    </row>
    <row r="47" customFormat="false" ht="15" hidden="false" customHeight="false" outlineLevel="0" collapsed="false">
      <c r="B47" s="5" t="s">
        <v>55</v>
      </c>
      <c r="C47" s="9" t="n">
        <f aca="false">IF(AND(Calculation!C75="",Calculation!C76=0),"",Calculation!C76+N(Calculation!C75))</f>
        <v>7</v>
      </c>
      <c r="D47" s="9" t="n">
        <f aca="false">IF(AND(Calculation!D75="",Calculation!D76=0),"",Calculation!D76+N(Calculation!D75))</f>
        <v>7</v>
      </c>
      <c r="E47" s="9" t="n">
        <f aca="false">IF(AND(Calculation!E75="",Calculation!E76=0),"",Calculation!E76+N(Calculation!E75))</f>
        <v>7</v>
      </c>
      <c r="F47" s="9" t="n">
        <f aca="false">IF(AND(Calculation!F75="",Calculation!F76=0),"",Calculation!F76+N(Calculation!F75))</f>
        <v>6</v>
      </c>
      <c r="G47" s="9" t="n">
        <f aca="false">IF(AND(Calculation!G75="",Calculation!G76=0),"",Calculation!G76+N(Calculation!G75))</f>
        <v>8</v>
      </c>
      <c r="H47" s="9" t="n">
        <f aca="false">IF(AND(Calculation!H75="",Calculation!H76=0),"",Calculation!H76+N(Calculation!H75))</f>
        <v>7</v>
      </c>
      <c r="I47" s="9" t="n">
        <f aca="false">IF(AND(Calculation!I75="",Calculation!I76=0),"",Calculation!I76+N(Calculation!I75))</f>
        <v>7</v>
      </c>
      <c r="J47" s="9" t="n">
        <f aca="false">IF(AND(Calculation!J75="",Calculation!J76=0),"",Calculation!J76+N(Calculation!J75))</f>
        <v>9</v>
      </c>
      <c r="K47" s="9" t="n">
        <f aca="false">IF(AND(Calculation!K75="",Calculation!K76=0),"",Calculation!K76+N(Calculation!K75))</f>
        <v>8</v>
      </c>
      <c r="L47" s="9" t="str">
        <f aca="false">IF(AND(Calculation!L75="",Calculation!L76=0),"",Calculation!L76+N(Calculation!L75))</f>
        <v/>
      </c>
      <c r="M47" s="9" t="str">
        <f aca="false">IF(AND(Calculation!M75="",Calculation!M76=0),"",Calculation!M76+N(Calculation!M75))</f>
        <v/>
      </c>
      <c r="N47" s="9" t="str">
        <f aca="false">IF(AND(Calculation!N75="",Calculation!N76=0),"",Calculation!N76+N(Calculation!N75))</f>
        <v/>
      </c>
    </row>
    <row r="48" customFormat="false" ht="15" hidden="false" customHeight="false" outlineLevel="0" collapsed="false">
      <c r="B48" s="8" t="s">
        <v>56</v>
      </c>
      <c r="C48" s="20" t="n">
        <f aca="false">Calculation!C68+Calculation!C69</f>
        <v>8</v>
      </c>
      <c r="D48" s="20" t="n">
        <f aca="false">Calculation!D68+Calculation!D69</f>
        <v>9</v>
      </c>
      <c r="E48" s="20" t="n">
        <f aca="false">Calculation!E68+Calculation!E69</f>
        <v>8</v>
      </c>
      <c r="F48" s="20" t="n">
        <f aca="false">Calculation!F68+Calculation!F69</f>
        <v>7</v>
      </c>
      <c r="G48" s="20" t="n">
        <f aca="false">Calculation!G68+Calculation!G69</f>
        <v>7</v>
      </c>
      <c r="H48" s="20" t="n">
        <f aca="false">Calculation!H68+Calculation!H69</f>
        <v>7</v>
      </c>
      <c r="I48" s="20" t="n">
        <f aca="false">Calculation!I68+Calculation!I69</f>
        <v>6</v>
      </c>
      <c r="J48" s="20" t="n">
        <f aca="false">Calculation!J68+Calculation!J69</f>
        <v>8</v>
      </c>
      <c r="K48" s="20" t="n">
        <f aca="false">Calculation!K68+Calculation!K69</f>
        <v>7</v>
      </c>
      <c r="L48" s="20" t="n">
        <f aca="false">Calculation!L68+Calculation!L69</f>
        <v>7</v>
      </c>
      <c r="M48" s="20" t="n">
        <f aca="false">Calculation!M68+Calculation!M69</f>
        <v>9</v>
      </c>
      <c r="N48" s="20" t="n">
        <f aca="false">Calculation!N68+Calculation!N69</f>
        <v>8</v>
      </c>
    </row>
    <row r="49" customFormat="false" ht="15" hidden="false" customHeight="false" outlineLevel="0" collapsed="false">
      <c r="B49" s="8" t="s">
        <v>57</v>
      </c>
      <c r="C49" s="20" t="n">
        <f aca="false">Calculation!C70</f>
        <v>8</v>
      </c>
      <c r="D49" s="20" t="n">
        <f aca="false">Calculation!D70</f>
        <v>9</v>
      </c>
      <c r="E49" s="20" t="n">
        <f aca="false">Calculation!E70</f>
        <v>8</v>
      </c>
      <c r="F49" s="20" t="n">
        <f aca="false">Calculation!F70</f>
        <v>10</v>
      </c>
      <c r="G49" s="20" t="n">
        <f aca="false">Calculation!G70</f>
        <v>9</v>
      </c>
      <c r="H49" s="20" t="n">
        <f aca="false">Calculation!H70</f>
        <v>8</v>
      </c>
      <c r="I49" s="20" t="n">
        <f aca="false">Calculation!I70</f>
        <v>7</v>
      </c>
      <c r="J49" s="20" t="n">
        <f aca="false">Calculation!J70</f>
        <v>6</v>
      </c>
      <c r="K49" s="20" t="n">
        <f aca="false">Calculation!K70</f>
        <v>6</v>
      </c>
      <c r="L49" s="20" t="n">
        <f aca="false">Calculation!L70</f>
        <v>6</v>
      </c>
      <c r="M49" s="20" t="n">
        <f aca="false">Calculation!M70</f>
        <v>8</v>
      </c>
      <c r="N49" s="20" t="n">
        <f aca="false">Calculation!N70</f>
        <v>8</v>
      </c>
    </row>
    <row r="50" customFormat="false" ht="15" hidden="false" customHeight="false" outlineLevel="0" collapsed="false">
      <c r="B50" s="5" t="s">
        <v>58</v>
      </c>
      <c r="C50" s="9" t="n">
        <f aca="false">Calculation!C71</f>
        <v>19</v>
      </c>
      <c r="D50" s="9" t="n">
        <f aca="false">Calculation!D71</f>
        <v>19</v>
      </c>
      <c r="E50" s="9" t="n">
        <f aca="false">Calculation!E71</f>
        <v>19</v>
      </c>
      <c r="F50" s="9" t="n">
        <f aca="false">Calculation!F71</f>
        <v>16</v>
      </c>
      <c r="G50" s="9" t="n">
        <f aca="false">Calculation!G71</f>
        <v>14</v>
      </c>
      <c r="H50" s="9" t="n">
        <f aca="false">Calculation!H71</f>
        <v>13</v>
      </c>
      <c r="I50" s="9" t="n">
        <f aca="false">Calculation!I71</f>
        <v>12</v>
      </c>
      <c r="J50" s="9" t="n">
        <f aca="false">Calculation!J71</f>
        <v>14</v>
      </c>
      <c r="K50" s="9" t="n">
        <f aca="false">Calculation!K71</f>
        <v>15</v>
      </c>
      <c r="L50" s="9" t="n">
        <f aca="false">Calculation!L71</f>
        <v>16</v>
      </c>
      <c r="M50" s="9" t="n">
        <f aca="false">Calculation!M71</f>
        <v>17</v>
      </c>
      <c r="N50" s="9" t="n">
        <f aca="false">Calculation!N71</f>
        <v>17</v>
      </c>
    </row>
    <row r="51" customFormat="false" ht="15" hidden="false" customHeight="false" outlineLevel="0" collapsed="false">
      <c r="B51" s="5" t="s">
        <v>59</v>
      </c>
      <c r="C51" s="21" t="n">
        <f aca="false">Calculation!C74</f>
        <v>2.11111111111111</v>
      </c>
      <c r="D51" s="21" t="n">
        <f aca="false">Calculation!D74</f>
        <v>2.11111111111111</v>
      </c>
      <c r="E51" s="21" t="n">
        <f aca="false">Calculation!E74</f>
        <v>2.11111111111111</v>
      </c>
      <c r="F51" s="21" t="n">
        <f aca="false">Calculation!F74</f>
        <v>2</v>
      </c>
      <c r="G51" s="21" t="n">
        <f aca="false">Calculation!G74</f>
        <v>2</v>
      </c>
      <c r="H51" s="21" t="n">
        <f aca="false">Calculation!H74</f>
        <v>2.05263157894737</v>
      </c>
      <c r="I51" s="21" t="n">
        <f aca="false">Calculation!I74</f>
        <v>2</v>
      </c>
      <c r="J51" s="21" t="n">
        <f aca="false">Calculation!J74</f>
        <v>2.1</v>
      </c>
      <c r="K51" s="21" t="n">
        <f aca="false">Calculation!K74</f>
        <v>2.04545454545455</v>
      </c>
      <c r="L51" s="21" t="n">
        <f aca="false">Calculation!L74</f>
        <v>2</v>
      </c>
      <c r="M51" s="21" t="n">
        <f aca="false">Calculation!M74</f>
        <v>2.04</v>
      </c>
      <c r="N51" s="21" t="n">
        <f aca="false">Calculation!N74</f>
        <v>2.04</v>
      </c>
    </row>
    <row r="52" customFormat="false" ht="15" hidden="false" customHeight="false" outlineLevel="0" collapsed="false">
      <c r="B52" s="22" t="str">
        <f aca="false">TEXT(INDEX(Calculation!$C$4:$N$4,$F$46+1),"mmm-yy")&amp;" sells "&amp;INDEX(Calculation!$C$70:$N$70,$F$46+1)&amp;IF(INDEX(Calculation!$C$69:$N$69,$F$46+1)&gt;0,IF(INDEX(Calculation!$C$69:$N$69,$F$46+1)&gt;=INDEX(Calculation!$C$70:$N$70,$F$46+1)," and is "&amp;(INDEX(Calculation!$C$69:$N$69,$F$46+1)-INDEX(Calculation!$C$70:$N$70,$F$46+1))&amp;" short"&amp;" (it starts with "&amp;(INDEX(Calculation!$C$67:$N$67,$F$46+1)+INDEX(Calculation!$C$68:$N$68,$F$46+1))&amp;" cars, and the 3 months after it need "&amp;ROUNDUP(INDEX(Calculation!$C$73:$N$73,$F$46+1),0)&amp;")."&amp;" Order "&amp;INDEX(Calculation!$C$70:$N$70,$F$46+1)&amp;" + "&amp;(INDEX(Calculation!$C$69:$N$69,$F$46+1)-INDEX(Calculation!$C$70:$N$70,$F$46+1))&amp;" = "&amp;INDEX(Calculation!$C$69:$N$69,$F$46+1)&amp;" now."," and has "&amp;(INDEX(Calculation!$C$70:$N$70,$F$46+1)-INDEX(Calculation!$C$69:$N$69,$F$46+1))&amp;" extra"&amp;" (it starts with "&amp;(INDEX(Calculation!$C$67:$N$67,$F$46+1)+INDEX(Calculation!$C$68:$N$68,$F$46+1))&amp;" cars, and the 3 months after it need "&amp;ROUNDUP(INDEX(Calculation!$C$73:$N$73,$F$46+1),0)&amp;")."&amp;" Order "&amp;INDEX(Calculation!$C$70:$N$70,$F$46+1)&amp;" - "&amp;(INDEX(Calculation!$C$70:$N$70,$F$46+1)-INDEX(Calculation!$C$69:$N$69,$F$46+1))&amp;" = "&amp;INDEX(Calculation!$C$69:$N$69,$F$46+1)&amp;" now.")," and has "&amp;((INDEX(Calculation!$C$67:$N$67,$F$46+1)+INDEX(Calculation!$C$68:$N$68,$F$46+1))-ROUNDUP(INDEX(Calculation!$C$73:$N$73,$F$46+1),0))&amp;" extra"&amp;" (it starts with "&amp;(INDEX(Calculation!$C$67:$N$67,$F$46+1)+INDEX(Calculation!$C$68:$N$68,$F$46+1))&amp;" cars, and the 3 months after it need "&amp;ROUNDUP(INDEX(Calculation!$C$73:$N$73,$F$46+1),0)&amp;")."&amp;" The extra covers its sales, so no order is needed now.")</f>
        <v>Feb-27 sells 10 and has 3 extra (it starts with 19 cars, and the 3 months after it need 16). Order 10 - 3 = 7 now.</v>
      </c>
    </row>
    <row r="54" customFormat="false" ht="15" hidden="false" customHeight="false" outlineLevel="0" collapsed="false">
      <c r="B54" s="17" t="str">
        <f aca="false">Calculation!B78</f>
        <v>Bronco - Badlands</v>
      </c>
      <c r="C54" s="18" t="s">
        <v>53</v>
      </c>
      <c r="D54" s="19" t="n">
        <f aca="false">Calculation!D78</f>
        <v>2</v>
      </c>
      <c r="E54" s="18" t="s">
        <v>54</v>
      </c>
      <c r="F54" s="19" t="n">
        <f aca="false">Calculation!F78</f>
        <v>3</v>
      </c>
      <c r="G54" s="17"/>
      <c r="H54" s="17"/>
      <c r="I54" s="17"/>
      <c r="J54" s="17"/>
      <c r="K54" s="17"/>
      <c r="L54" s="17"/>
      <c r="M54" s="17"/>
      <c r="N54" s="17"/>
    </row>
    <row r="55" customFormat="false" ht="15" hidden="false" customHeight="false" outlineLevel="0" collapsed="false">
      <c r="B55" s="5" t="s">
        <v>55</v>
      </c>
      <c r="C55" s="9" t="n">
        <f aca="false">IF(AND(Calculation!C87="",Calculation!C88=0),"",Calculation!C88+N(Calculation!C87))</f>
        <v>5</v>
      </c>
      <c r="D55" s="9" t="n">
        <f aca="false">IF(AND(Calculation!D87="",Calculation!D88=0),"",Calculation!D88+N(Calculation!D87))</f>
        <v>7</v>
      </c>
      <c r="E55" s="9" t="n">
        <f aca="false">IF(AND(Calculation!E87="",Calculation!E88=0),"",Calculation!E88+N(Calculation!E87))</f>
        <v>6</v>
      </c>
      <c r="F55" s="9" t="n">
        <f aca="false">IF(AND(Calculation!F87="",Calculation!F88=0),"",Calculation!F88+N(Calculation!F87))</f>
        <v>6</v>
      </c>
      <c r="G55" s="9" t="n">
        <f aca="false">IF(AND(Calculation!G87="",Calculation!G88=0),"",Calculation!G88+N(Calculation!G87))</f>
        <v>6</v>
      </c>
      <c r="H55" s="9" t="n">
        <f aca="false">IF(AND(Calculation!H87="",Calculation!H88=0),"",Calculation!H88+N(Calculation!H87))</f>
        <v>7</v>
      </c>
      <c r="I55" s="9" t="n">
        <f aca="false">IF(AND(Calculation!I87="",Calculation!I88=0),"",Calculation!I88+N(Calculation!I87))</f>
        <v>6</v>
      </c>
      <c r="J55" s="9" t="n">
        <f aca="false">IF(AND(Calculation!J87="",Calculation!J88=0),"",Calculation!J88+N(Calculation!J87))</f>
        <v>8</v>
      </c>
      <c r="K55" s="9" t="n">
        <f aca="false">IF(AND(Calculation!K87="",Calculation!K88=0),"",Calculation!K88+N(Calculation!K87))</f>
        <v>7</v>
      </c>
      <c r="L55" s="9" t="str">
        <f aca="false">IF(AND(Calculation!L87="",Calculation!L88=0),"",Calculation!L88+N(Calculation!L87))</f>
        <v/>
      </c>
      <c r="M55" s="9" t="str">
        <f aca="false">IF(AND(Calculation!M87="",Calculation!M88=0),"",Calculation!M88+N(Calculation!M87))</f>
        <v/>
      </c>
      <c r="N55" s="9" t="str">
        <f aca="false">IF(AND(Calculation!N87="",Calculation!N88=0),"",Calculation!N88+N(Calculation!N87))</f>
        <v/>
      </c>
    </row>
    <row r="56" customFormat="false" ht="15" hidden="false" customHeight="false" outlineLevel="0" collapsed="false">
      <c r="B56" s="8" t="s">
        <v>56</v>
      </c>
      <c r="C56" s="20" t="n">
        <f aca="false">Calculation!C80+Calculation!C81</f>
        <v>10</v>
      </c>
      <c r="D56" s="20" t="n">
        <f aca="false">Calculation!D80+Calculation!D81</f>
        <v>8</v>
      </c>
      <c r="E56" s="20" t="n">
        <f aca="false">Calculation!E80+Calculation!E81</f>
        <v>12</v>
      </c>
      <c r="F56" s="20" t="n">
        <f aca="false">Calculation!F80+Calculation!F81</f>
        <v>5</v>
      </c>
      <c r="G56" s="20" t="n">
        <f aca="false">Calculation!G80+Calculation!G81</f>
        <v>7</v>
      </c>
      <c r="H56" s="20" t="n">
        <f aca="false">Calculation!H80+Calculation!H81</f>
        <v>6</v>
      </c>
      <c r="I56" s="20" t="n">
        <f aca="false">Calculation!I80+Calculation!I81</f>
        <v>6</v>
      </c>
      <c r="J56" s="20" t="n">
        <f aca="false">Calculation!J80+Calculation!J81</f>
        <v>6</v>
      </c>
      <c r="K56" s="20" t="n">
        <f aca="false">Calculation!K80+Calculation!K81</f>
        <v>7</v>
      </c>
      <c r="L56" s="20" t="n">
        <f aca="false">Calculation!L80+Calculation!L81</f>
        <v>6</v>
      </c>
      <c r="M56" s="20" t="n">
        <f aca="false">Calculation!M80+Calculation!M81</f>
        <v>8</v>
      </c>
      <c r="N56" s="20" t="n">
        <f aca="false">Calculation!N80+Calculation!N81</f>
        <v>7</v>
      </c>
    </row>
    <row r="57" customFormat="false" ht="15" hidden="false" customHeight="false" outlineLevel="0" collapsed="false">
      <c r="B57" s="8" t="s">
        <v>57</v>
      </c>
      <c r="C57" s="20" t="n">
        <f aca="false">Calculation!C82</f>
        <v>7</v>
      </c>
      <c r="D57" s="20" t="n">
        <f aca="false">Calculation!D82</f>
        <v>8</v>
      </c>
      <c r="E57" s="20" t="n">
        <f aca="false">Calculation!E82</f>
        <v>7</v>
      </c>
      <c r="F57" s="20" t="n">
        <f aca="false">Calculation!F82</f>
        <v>8</v>
      </c>
      <c r="G57" s="20" t="n">
        <f aca="false">Calculation!G82</f>
        <v>8</v>
      </c>
      <c r="H57" s="20" t="n">
        <f aca="false">Calculation!H82</f>
        <v>7</v>
      </c>
      <c r="I57" s="20" t="n">
        <f aca="false">Calculation!I82</f>
        <v>6</v>
      </c>
      <c r="J57" s="20" t="n">
        <f aca="false">Calculation!J82</f>
        <v>6</v>
      </c>
      <c r="K57" s="20" t="n">
        <f aca="false">Calculation!K82</f>
        <v>5</v>
      </c>
      <c r="L57" s="20" t="n">
        <f aca="false">Calculation!L82</f>
        <v>6</v>
      </c>
      <c r="M57" s="20" t="n">
        <f aca="false">Calculation!M82</f>
        <v>7</v>
      </c>
      <c r="N57" s="20" t="n">
        <f aca="false">Calculation!N82</f>
        <v>7</v>
      </c>
    </row>
    <row r="58" customFormat="false" ht="15" hidden="false" customHeight="false" outlineLevel="0" collapsed="false">
      <c r="B58" s="5" t="s">
        <v>58</v>
      </c>
      <c r="C58" s="9" t="n">
        <f aca="false">Calculation!C83</f>
        <v>12</v>
      </c>
      <c r="D58" s="9" t="n">
        <f aca="false">Calculation!D83</f>
        <v>12</v>
      </c>
      <c r="E58" s="9" t="n">
        <f aca="false">Calculation!E83</f>
        <v>17</v>
      </c>
      <c r="F58" s="9" t="n">
        <f aca="false">Calculation!F83</f>
        <v>14</v>
      </c>
      <c r="G58" s="9" t="n">
        <f aca="false">Calculation!G83</f>
        <v>13</v>
      </c>
      <c r="H58" s="9" t="n">
        <f aca="false">Calculation!H83</f>
        <v>12</v>
      </c>
      <c r="I58" s="9" t="n">
        <f aca="false">Calculation!I83</f>
        <v>12</v>
      </c>
      <c r="J58" s="9" t="n">
        <f aca="false">Calculation!J83</f>
        <v>12</v>
      </c>
      <c r="K58" s="9" t="n">
        <f aca="false">Calculation!K83</f>
        <v>14</v>
      </c>
      <c r="L58" s="9" t="n">
        <f aca="false">Calculation!L83</f>
        <v>14</v>
      </c>
      <c r="M58" s="9" t="n">
        <f aca="false">Calculation!M83</f>
        <v>15</v>
      </c>
      <c r="N58" s="9" t="n">
        <f aca="false">Calculation!N83</f>
        <v>15</v>
      </c>
    </row>
    <row r="59" customFormat="false" ht="15" hidden="false" customHeight="false" outlineLevel="0" collapsed="false">
      <c r="B59" s="5" t="s">
        <v>59</v>
      </c>
      <c r="C59" s="21" t="n">
        <f aca="false">Calculation!C86</f>
        <v>1.56521739130435</v>
      </c>
      <c r="D59" s="21" t="n">
        <f aca="false">Calculation!D86</f>
        <v>1.56521739130435</v>
      </c>
      <c r="E59" s="21" t="n">
        <f aca="false">Calculation!E86</f>
        <v>2.21739130434783</v>
      </c>
      <c r="F59" s="21" t="n">
        <f aca="false">Calculation!F86</f>
        <v>2</v>
      </c>
      <c r="G59" s="21" t="n">
        <f aca="false">Calculation!G86</f>
        <v>2.05263157894737</v>
      </c>
      <c r="H59" s="21" t="n">
        <f aca="false">Calculation!H86</f>
        <v>2.11764705882353</v>
      </c>
      <c r="I59" s="21" t="n">
        <f aca="false">Calculation!I86</f>
        <v>2.11764705882353</v>
      </c>
      <c r="J59" s="21" t="n">
        <f aca="false">Calculation!J86</f>
        <v>2</v>
      </c>
      <c r="K59" s="21" t="n">
        <f aca="false">Calculation!K86</f>
        <v>2.1</v>
      </c>
      <c r="L59" s="21" t="n">
        <f aca="false">Calculation!L86</f>
        <v>2</v>
      </c>
      <c r="M59" s="21" t="n">
        <f aca="false">Calculation!M86</f>
        <v>2.04545454545455</v>
      </c>
      <c r="N59" s="21" t="n">
        <f aca="false">Calculation!N86</f>
        <v>2.04545454545455</v>
      </c>
    </row>
    <row r="60" customFormat="false" ht="15" hidden="false" customHeight="false" outlineLevel="0" collapsed="false">
      <c r="B60" s="22" t="str">
        <f aca="false">TEXT(INDEX(Calculation!$C$4:$N$4,$F$54+1),"mmm-yy")&amp;" sells "&amp;INDEX(Calculation!$C$82:$N$82,$F$54+1)&amp;IF(INDEX(Calculation!$C$81:$N$81,$F$54+1)&gt;0,IF(INDEX(Calculation!$C$81:$N$81,$F$54+1)&gt;=INDEX(Calculation!$C$82:$N$82,$F$54+1)," and is "&amp;(INDEX(Calculation!$C$81:$N$81,$F$54+1)-INDEX(Calculation!$C$82:$N$82,$F$54+1))&amp;" short"&amp;" (it starts with "&amp;(INDEX(Calculation!$C$79:$N$79,$F$54+1)+INDEX(Calculation!$C$80:$N$80,$F$54+1))&amp;" cars, and the 3 months after it need "&amp;ROUNDUP(INDEX(Calculation!$C$85:$N$85,$F$54+1),0)&amp;")."&amp;" Order "&amp;INDEX(Calculation!$C$82:$N$82,$F$54+1)&amp;" + "&amp;(INDEX(Calculation!$C$81:$N$81,$F$54+1)-INDEX(Calculation!$C$82:$N$82,$F$54+1))&amp;" = "&amp;INDEX(Calculation!$C$81:$N$81,$F$54+1)&amp;" now."," and has "&amp;(INDEX(Calculation!$C$82:$N$82,$F$54+1)-INDEX(Calculation!$C$81:$N$81,$F$54+1))&amp;" extra"&amp;" (it starts with "&amp;(INDEX(Calculation!$C$79:$N$79,$F$54+1)+INDEX(Calculation!$C$80:$N$80,$F$54+1))&amp;" cars, and the 3 months after it need "&amp;ROUNDUP(INDEX(Calculation!$C$85:$N$85,$F$54+1),0)&amp;")."&amp;" Order "&amp;INDEX(Calculation!$C$82:$N$82,$F$54+1)&amp;" - "&amp;(INDEX(Calculation!$C$82:$N$82,$F$54+1)-INDEX(Calculation!$C$81:$N$81,$F$54+1))&amp;" = "&amp;INDEX(Calculation!$C$81:$N$81,$F$54+1)&amp;" now.")," and has "&amp;((INDEX(Calculation!$C$79:$N$79,$F$54+1)+INDEX(Calculation!$C$80:$N$80,$F$54+1))-ROUNDUP(INDEX(Calculation!$C$85:$N$85,$F$54+1),0))&amp;" extra"&amp;" (it starts with "&amp;(INDEX(Calculation!$C$79:$N$79,$F$54+1)+INDEX(Calculation!$C$80:$N$80,$F$54+1))&amp;" cars, and the 3 months after it need "&amp;ROUNDUP(INDEX(Calculation!$C$85:$N$85,$F$54+1),0)&amp;")."&amp;" The extra covers its sales, so no order is needed now.")</f>
        <v>Feb-27 sells 8 and has 3 extra (it starts with 17 cars, and the 3 months after it need 14). Order 8 - 3 = 5 now.</v>
      </c>
    </row>
    <row r="62" customFormat="false" ht="15" hidden="false" customHeight="false" outlineLevel="0" collapsed="false">
      <c r="B62" s="17" t="str">
        <f aca="false">Calculation!B90</f>
        <v>Bronco - Wildtrak</v>
      </c>
      <c r="C62" s="18" t="s">
        <v>53</v>
      </c>
      <c r="D62" s="19" t="n">
        <f aca="false">Calculation!D90</f>
        <v>2</v>
      </c>
      <c r="E62" s="18" t="s">
        <v>54</v>
      </c>
      <c r="F62" s="19" t="n">
        <f aca="false">Calculation!F90</f>
        <v>3</v>
      </c>
      <c r="G62" s="17"/>
      <c r="H62" s="17"/>
      <c r="I62" s="17"/>
      <c r="J62" s="17"/>
      <c r="K62" s="17"/>
      <c r="L62" s="17"/>
      <c r="M62" s="17"/>
      <c r="N62" s="17"/>
    </row>
    <row r="63" customFormat="false" ht="15" hidden="false" customHeight="false" outlineLevel="0" collapsed="false">
      <c r="B63" s="5" t="s">
        <v>55</v>
      </c>
      <c r="C63" s="9" t="n">
        <f aca="false">IF(AND(Calculation!C99="",Calculation!C100=0),"",Calculation!C100+N(Calculation!C99))</f>
        <v>9</v>
      </c>
      <c r="D63" s="9" t="n">
        <f aca="false">IF(AND(Calculation!D99="",Calculation!D100=0),"",Calculation!D100+N(Calculation!D99))</f>
        <v>0</v>
      </c>
      <c r="E63" s="9" t="n">
        <f aca="false">IF(AND(Calculation!E99="",Calculation!E100=0),"",Calculation!E100+N(Calculation!E99))</f>
        <v>2</v>
      </c>
      <c r="F63" s="9" t="n">
        <f aca="false">IF(AND(Calculation!F99="",Calculation!F100=0),"",Calculation!F100+N(Calculation!F99))</f>
        <v>3</v>
      </c>
      <c r="G63" s="9" t="n">
        <f aca="false">IF(AND(Calculation!G99="",Calculation!G100=0),"",Calculation!G100+N(Calculation!G99))</f>
        <v>4</v>
      </c>
      <c r="H63" s="9" t="n">
        <f aca="false">IF(AND(Calculation!H99="",Calculation!H100=0),"",Calculation!H100+N(Calculation!H99))</f>
        <v>4</v>
      </c>
      <c r="I63" s="9" t="n">
        <f aca="false">IF(AND(Calculation!I99="",Calculation!I100=0),"",Calculation!I100+N(Calculation!I99))</f>
        <v>3</v>
      </c>
      <c r="J63" s="9" t="n">
        <f aca="false">IF(AND(Calculation!J99="",Calculation!J100=0),"",Calculation!J100+N(Calculation!J99))</f>
        <v>5</v>
      </c>
      <c r="K63" s="9" t="n">
        <f aca="false">IF(AND(Calculation!K99="",Calculation!K100=0),"",Calculation!K100+N(Calculation!K99))</f>
        <v>4</v>
      </c>
      <c r="L63" s="9" t="str">
        <f aca="false">IF(AND(Calculation!L99="",Calculation!L100=0),"",Calculation!L100+N(Calculation!L99))</f>
        <v/>
      </c>
      <c r="M63" s="9" t="str">
        <f aca="false">IF(AND(Calculation!M99="",Calculation!M100=0),"",Calculation!M100+N(Calculation!M99))</f>
        <v/>
      </c>
      <c r="N63" s="9" t="str">
        <f aca="false">IF(AND(Calculation!N99="",Calculation!N100=0),"",Calculation!N100+N(Calculation!N99))</f>
        <v/>
      </c>
    </row>
    <row r="64" customFormat="false" ht="15" hidden="false" customHeight="false" outlineLevel="0" collapsed="false">
      <c r="B64" s="8" t="s">
        <v>56</v>
      </c>
      <c r="C64" s="20" t="n">
        <f aca="false">Calculation!C92+Calculation!C93</f>
        <v>4</v>
      </c>
      <c r="D64" s="20" t="n">
        <f aca="false">Calculation!D92+Calculation!D93</f>
        <v>0</v>
      </c>
      <c r="E64" s="20" t="n">
        <f aca="false">Calculation!E92+Calculation!E93</f>
        <v>4</v>
      </c>
      <c r="F64" s="20" t="n">
        <f aca="false">Calculation!F92+Calculation!F93</f>
        <v>9</v>
      </c>
      <c r="G64" s="20" t="n">
        <f aca="false">Calculation!G92+Calculation!G93</f>
        <v>5</v>
      </c>
      <c r="H64" s="20" t="n">
        <f aca="false">Calculation!H92+Calculation!H93</f>
        <v>2</v>
      </c>
      <c r="I64" s="20" t="n">
        <f aca="false">Calculation!I92+Calculation!I93</f>
        <v>3</v>
      </c>
      <c r="J64" s="20" t="n">
        <f aca="false">Calculation!J92+Calculation!J93</f>
        <v>4</v>
      </c>
      <c r="K64" s="20" t="n">
        <f aca="false">Calculation!K92+Calculation!K93</f>
        <v>4</v>
      </c>
      <c r="L64" s="20" t="n">
        <f aca="false">Calculation!L92+Calculation!L93</f>
        <v>3</v>
      </c>
      <c r="M64" s="20" t="n">
        <f aca="false">Calculation!M92+Calculation!M93</f>
        <v>5</v>
      </c>
      <c r="N64" s="20" t="n">
        <f aca="false">Calculation!N92+Calculation!N93</f>
        <v>4</v>
      </c>
    </row>
    <row r="65" customFormat="false" ht="15" hidden="false" customHeight="false" outlineLevel="0" collapsed="false">
      <c r="B65" s="8" t="s">
        <v>57</v>
      </c>
      <c r="C65" s="20" t="n">
        <f aca="false">Calculation!C94</f>
        <v>4</v>
      </c>
      <c r="D65" s="20" t="n">
        <f aca="false">Calculation!D94</f>
        <v>5</v>
      </c>
      <c r="E65" s="20" t="n">
        <f aca="false">Calculation!E94</f>
        <v>4</v>
      </c>
      <c r="F65" s="20" t="n">
        <f aca="false">Calculation!F94</f>
        <v>5</v>
      </c>
      <c r="G65" s="20" t="n">
        <f aca="false">Calculation!G94</f>
        <v>4</v>
      </c>
      <c r="H65" s="20" t="n">
        <f aca="false">Calculation!H94</f>
        <v>4</v>
      </c>
      <c r="I65" s="20" t="n">
        <f aca="false">Calculation!I94</f>
        <v>4</v>
      </c>
      <c r="J65" s="20" t="n">
        <f aca="false">Calculation!J94</f>
        <v>3</v>
      </c>
      <c r="K65" s="20" t="n">
        <f aca="false">Calculation!K94</f>
        <v>3</v>
      </c>
      <c r="L65" s="20" t="n">
        <f aca="false">Calculation!L94</f>
        <v>3</v>
      </c>
      <c r="M65" s="20" t="n">
        <f aca="false">Calculation!M94</f>
        <v>4</v>
      </c>
      <c r="N65" s="20" t="n">
        <f aca="false">Calculation!N94</f>
        <v>4</v>
      </c>
    </row>
    <row r="66" customFormat="false" ht="15" hidden="false" customHeight="false" outlineLevel="0" collapsed="false">
      <c r="B66" s="5" t="s">
        <v>58</v>
      </c>
      <c r="C66" s="9" t="n">
        <f aca="false">Calculation!C95</f>
        <v>9</v>
      </c>
      <c r="D66" s="9" t="n">
        <f aca="false">Calculation!D95</f>
        <v>4</v>
      </c>
      <c r="E66" s="9" t="n">
        <f aca="false">Calculation!E95</f>
        <v>4</v>
      </c>
      <c r="F66" s="9" t="n">
        <f aca="false">Calculation!F95</f>
        <v>8</v>
      </c>
      <c r="G66" s="9" t="n">
        <f aca="false">Calculation!G95</f>
        <v>9</v>
      </c>
      <c r="H66" s="9" t="n">
        <f aca="false">Calculation!H95</f>
        <v>7</v>
      </c>
      <c r="I66" s="9" t="n">
        <f aca="false">Calculation!I95</f>
        <v>6</v>
      </c>
      <c r="J66" s="9" t="n">
        <f aca="false">Calculation!J95</f>
        <v>7</v>
      </c>
      <c r="K66" s="9" t="n">
        <f aca="false">Calculation!K95</f>
        <v>8</v>
      </c>
      <c r="L66" s="9" t="n">
        <f aca="false">Calculation!L95</f>
        <v>8</v>
      </c>
      <c r="M66" s="9" t="n">
        <f aca="false">Calculation!M95</f>
        <v>9</v>
      </c>
      <c r="N66" s="9" t="n">
        <f aca="false">Calculation!N95</f>
        <v>9</v>
      </c>
    </row>
    <row r="67" customFormat="false" ht="15" hidden="false" customHeight="false" outlineLevel="0" collapsed="false">
      <c r="B67" s="5" t="s">
        <v>59</v>
      </c>
      <c r="C67" s="21" t="n">
        <f aca="false">Calculation!C98</f>
        <v>1.92857142857143</v>
      </c>
      <c r="D67" s="21" t="n">
        <f aca="false">Calculation!D98</f>
        <v>0.923076923076923</v>
      </c>
      <c r="E67" s="21" t="n">
        <f aca="false">Calculation!E98</f>
        <v>0.923076923076923</v>
      </c>
      <c r="F67" s="21" t="n">
        <f aca="false">Calculation!F98</f>
        <v>2</v>
      </c>
      <c r="G67" s="21" t="n">
        <f aca="false">Calculation!G98</f>
        <v>2.45454545454545</v>
      </c>
      <c r="H67" s="21" t="n">
        <f aca="false">Calculation!H98</f>
        <v>2.1</v>
      </c>
      <c r="I67" s="21" t="n">
        <f aca="false">Calculation!I98</f>
        <v>2</v>
      </c>
      <c r="J67" s="21" t="n">
        <f aca="false">Calculation!J98</f>
        <v>2.1</v>
      </c>
      <c r="K67" s="21" t="n">
        <f aca="false">Calculation!K98</f>
        <v>2.18181818181818</v>
      </c>
      <c r="L67" s="21" t="n">
        <f aca="false">Calculation!L98</f>
        <v>2</v>
      </c>
      <c r="M67" s="21" t="n">
        <f aca="false">Calculation!M98</f>
        <v>2.07692307692308</v>
      </c>
      <c r="N67" s="21" t="n">
        <f aca="false">Calculation!N98</f>
        <v>2.07692307692308</v>
      </c>
    </row>
    <row r="68" customFormat="false" ht="15" hidden="false" customHeight="false" outlineLevel="0" collapsed="false">
      <c r="B68" s="22" t="str">
        <f aca="false">TEXT(INDEX(Calculation!$C$4:$N$4,$F$62+1),"mmm-yy")&amp;" sells "&amp;INDEX(Calculation!$C$94:$N$94,$F$62+1)&amp;IF(INDEX(Calculation!$C$93:$N$93,$F$62+1)&gt;0,IF(INDEX(Calculation!$C$93:$N$93,$F$62+1)&gt;=INDEX(Calculation!$C$94:$N$94,$F$62+1)," and is "&amp;(INDEX(Calculation!$C$93:$N$93,$F$62+1)-INDEX(Calculation!$C$94:$N$94,$F$62+1))&amp;" short"&amp;" (it starts with "&amp;(INDEX(Calculation!$C$91:$N$91,$F$62+1)+INDEX(Calculation!$C$92:$N$92,$F$62+1))&amp;" cars, and the 3 months after it need "&amp;ROUNDUP(INDEX(Calculation!$C$97:$N$97,$F$62+1),0)&amp;")."&amp;" Order "&amp;INDEX(Calculation!$C$94:$N$94,$F$62+1)&amp;" + "&amp;(INDEX(Calculation!$C$93:$N$93,$F$62+1)-INDEX(Calculation!$C$94:$N$94,$F$62+1))&amp;" = "&amp;INDEX(Calculation!$C$93:$N$93,$F$62+1)&amp;" now."," and has "&amp;(INDEX(Calculation!$C$94:$N$94,$F$62+1)-INDEX(Calculation!$C$93:$N$93,$F$62+1))&amp;" extra"&amp;" (it starts with "&amp;(INDEX(Calculation!$C$91:$N$91,$F$62+1)+INDEX(Calculation!$C$92:$N$92,$F$62+1))&amp;" cars, and the 3 months after it need "&amp;ROUNDUP(INDEX(Calculation!$C$97:$N$97,$F$62+1),0)&amp;")."&amp;" Order "&amp;INDEX(Calculation!$C$94:$N$94,$F$62+1)&amp;" - "&amp;(INDEX(Calculation!$C$94:$N$94,$F$62+1)-INDEX(Calculation!$C$93:$N$93,$F$62+1))&amp;" = "&amp;INDEX(Calculation!$C$93:$N$93,$F$62+1)&amp;" now.")," and has "&amp;((INDEX(Calculation!$C$91:$N$91,$F$62+1)+INDEX(Calculation!$C$92:$N$92,$F$62+1))-ROUNDUP(INDEX(Calculation!$C$97:$N$97,$F$62+1),0))&amp;" extra"&amp;" (it starts with "&amp;(INDEX(Calculation!$C$91:$N$91,$F$62+1)+INDEX(Calculation!$C$92:$N$92,$F$62+1))&amp;" cars, and the 3 months after it need "&amp;ROUNDUP(INDEX(Calculation!$C$97:$N$97,$F$62+1),0)&amp;")."&amp;" The extra covers its sales, so no order is needed now.")</f>
        <v>Feb-27 sells 5 and is 4 short (it starts with 4 cars, and the 3 months after it need 8). Order 5 + 4 = 9 now.</v>
      </c>
    </row>
  </sheetData>
  <conditionalFormatting sqref="C7:N7">
    <cfRule type="expression" priority="2" aboveAverage="0" equalAverage="0" bottom="0" percent="0" rank="0" text="" dxfId="3">
      <formula>AND(ISNUMBER(Calculation!C15),Calculation!C15&gt;0)</formula>
    </cfRule>
  </conditionalFormatting>
  <conditionalFormatting sqref="C8:N8">
    <cfRule type="expression" priority="3" aboveAverage="0" equalAverage="0" bottom="0" percent="0" rank="0" text="" dxfId="3">
      <formula>Calculation!C9&gt;0</formula>
    </cfRule>
    <cfRule type="expression" priority="4" aboveAverage="0" equalAverage="0" bottom="0" percent="0" rank="0" text="" dxfId="4">
      <formula>C$3&lt;=$F$6</formula>
    </cfRule>
  </conditionalFormatting>
  <conditionalFormatting sqref="C11:N11">
    <cfRule type="expression" priority="5" aboveAverage="0" equalAverage="0" bottom="0" percent="0" rank="0" text="" dxfId="0">
      <formula>AND(C11&lt;&gt;"",C11&lt;$D$6)</formula>
    </cfRule>
    <cfRule type="expression" priority="6" aboveAverage="0" equalAverage="0" bottom="0" percent="0" rank="0" text="" dxfId="1">
      <formula>AND(C11&lt;&gt;"",C11&gt;$D$6+1)</formula>
    </cfRule>
    <cfRule type="expression" priority="7" aboveAverage="0" equalAverage="0" bottom="0" percent="0" rank="0" text="" dxfId="2">
      <formula>AND(C11&lt;&gt;"",C11&gt;=$D$6,C11&lt;=$D$6+1)</formula>
    </cfRule>
  </conditionalFormatting>
  <conditionalFormatting sqref="C15:N15">
    <cfRule type="expression" priority="8" aboveAverage="0" equalAverage="0" bottom="0" percent="0" rank="0" text="" dxfId="3">
      <formula>AND(ISNUMBER(Calculation!C27),Calculation!C27&gt;0)</formula>
    </cfRule>
  </conditionalFormatting>
  <conditionalFormatting sqref="C16:N16">
    <cfRule type="expression" priority="9" aboveAverage="0" equalAverage="0" bottom="0" percent="0" rank="0" text="" dxfId="3">
      <formula>Calculation!C21&gt;0</formula>
    </cfRule>
    <cfRule type="expression" priority="10" aboveAverage="0" equalAverage="0" bottom="0" percent="0" rank="0" text="" dxfId="4">
      <formula>C$3&lt;=$F$14</formula>
    </cfRule>
  </conditionalFormatting>
  <conditionalFormatting sqref="C19:N19">
    <cfRule type="expression" priority="11" aboveAverage="0" equalAverage="0" bottom="0" percent="0" rank="0" text="" dxfId="0">
      <formula>AND(C19&lt;&gt;"",C19&lt;$D$14)</formula>
    </cfRule>
    <cfRule type="expression" priority="12" aboveAverage="0" equalAverage="0" bottom="0" percent="0" rank="0" text="" dxfId="1">
      <formula>AND(C19&lt;&gt;"",C19&gt;$D$14+1)</formula>
    </cfRule>
    <cfRule type="expression" priority="13" aboveAverage="0" equalAverage="0" bottom="0" percent="0" rank="0" text="" dxfId="2">
      <formula>AND(C19&lt;&gt;"",C19&gt;=$D$14,C19&lt;=$D$14+1)</formula>
    </cfRule>
  </conditionalFormatting>
  <conditionalFormatting sqref="C23:N23">
    <cfRule type="expression" priority="14" aboveAverage="0" equalAverage="0" bottom="0" percent="0" rank="0" text="" dxfId="3">
      <formula>AND(ISNUMBER(Calculation!C39),Calculation!C39&gt;0)</formula>
    </cfRule>
  </conditionalFormatting>
  <conditionalFormatting sqref="C24:N24">
    <cfRule type="expression" priority="15" aboveAverage="0" equalAverage="0" bottom="0" percent="0" rank="0" text="" dxfId="3">
      <formula>Calculation!C33&gt;0</formula>
    </cfRule>
    <cfRule type="expression" priority="16" aboveAverage="0" equalAverage="0" bottom="0" percent="0" rank="0" text="" dxfId="4">
      <formula>C$3&lt;=$F$22</formula>
    </cfRule>
  </conditionalFormatting>
  <conditionalFormatting sqref="C27:N27">
    <cfRule type="expression" priority="17" aboveAverage="0" equalAverage="0" bottom="0" percent="0" rank="0" text="" dxfId="0">
      <formula>AND(C27&lt;&gt;"",C27&lt;$D$22)</formula>
    </cfRule>
    <cfRule type="expression" priority="18" aboveAverage="0" equalAverage="0" bottom="0" percent="0" rank="0" text="" dxfId="1">
      <formula>AND(C27&lt;&gt;"",C27&gt;$D$22+1)</formula>
    </cfRule>
    <cfRule type="expression" priority="19" aboveAverage="0" equalAverage="0" bottom="0" percent="0" rank="0" text="" dxfId="2">
      <formula>AND(C27&lt;&gt;"",C27&gt;=$D$22,C27&lt;=$D$22+1)</formula>
    </cfRule>
  </conditionalFormatting>
  <conditionalFormatting sqref="C31:N31">
    <cfRule type="expression" priority="20" aboveAverage="0" equalAverage="0" bottom="0" percent="0" rank="0" text="" dxfId="3">
      <formula>AND(ISNUMBER(Calculation!C51),Calculation!C51&gt;0)</formula>
    </cfRule>
  </conditionalFormatting>
  <conditionalFormatting sqref="C32:N32">
    <cfRule type="expression" priority="21" aboveAverage="0" equalAverage="0" bottom="0" percent="0" rank="0" text="" dxfId="3">
      <formula>Calculation!C45&gt;0</formula>
    </cfRule>
    <cfRule type="expression" priority="22" aboveAverage="0" equalAverage="0" bottom="0" percent="0" rank="0" text="" dxfId="4">
      <formula>C$3&lt;=$F$30</formula>
    </cfRule>
  </conditionalFormatting>
  <conditionalFormatting sqref="C35:N35">
    <cfRule type="expression" priority="23" aboveAverage="0" equalAverage="0" bottom="0" percent="0" rank="0" text="" dxfId="0">
      <formula>AND(C35&lt;&gt;"",C35&lt;$D$30)</formula>
    </cfRule>
    <cfRule type="expression" priority="24" aboveAverage="0" equalAverage="0" bottom="0" percent="0" rank="0" text="" dxfId="1">
      <formula>AND(C35&lt;&gt;"",C35&gt;$D$30+1)</formula>
    </cfRule>
    <cfRule type="expression" priority="25" aboveAverage="0" equalAverage="0" bottom="0" percent="0" rank="0" text="" dxfId="2">
      <formula>AND(C35&lt;&gt;"",C35&gt;=$D$30,C35&lt;=$D$30+1)</formula>
    </cfRule>
  </conditionalFormatting>
  <conditionalFormatting sqref="C39:N39">
    <cfRule type="expression" priority="26" aboveAverage="0" equalAverage="0" bottom="0" percent="0" rank="0" text="" dxfId="3">
      <formula>AND(ISNUMBER(Calculation!C63),Calculation!C63&gt;0)</formula>
    </cfRule>
  </conditionalFormatting>
  <conditionalFormatting sqref="C40:N40">
    <cfRule type="expression" priority="27" aboveAverage="0" equalAverage="0" bottom="0" percent="0" rank="0" text="" dxfId="3">
      <formula>Calculation!C57&gt;0</formula>
    </cfRule>
    <cfRule type="expression" priority="28" aboveAverage="0" equalAverage="0" bottom="0" percent="0" rank="0" text="" dxfId="4">
      <formula>C$3&lt;=$F$38</formula>
    </cfRule>
  </conditionalFormatting>
  <conditionalFormatting sqref="C43:N43">
    <cfRule type="expression" priority="29" aboveAverage="0" equalAverage="0" bottom="0" percent="0" rank="0" text="" dxfId="0">
      <formula>AND(C43&lt;&gt;"",C43&lt;$D$38)</formula>
    </cfRule>
    <cfRule type="expression" priority="30" aboveAverage="0" equalAverage="0" bottom="0" percent="0" rank="0" text="" dxfId="1">
      <formula>AND(C43&lt;&gt;"",C43&gt;$D$38+1)</formula>
    </cfRule>
    <cfRule type="expression" priority="31" aboveAverage="0" equalAverage="0" bottom="0" percent="0" rank="0" text="" dxfId="2">
      <formula>AND(C43&lt;&gt;"",C43&gt;=$D$38,C43&lt;=$D$38+1)</formula>
    </cfRule>
  </conditionalFormatting>
  <conditionalFormatting sqref="C47:N47">
    <cfRule type="expression" priority="32" aboveAverage="0" equalAverage="0" bottom="0" percent="0" rank="0" text="" dxfId="3">
      <formula>AND(ISNUMBER(Calculation!C75),Calculation!C75&gt;0)</formula>
    </cfRule>
  </conditionalFormatting>
  <conditionalFormatting sqref="C48:N48">
    <cfRule type="expression" priority="33" aboveAverage="0" equalAverage="0" bottom="0" percent="0" rank="0" text="" dxfId="3">
      <formula>Calculation!C69&gt;0</formula>
    </cfRule>
    <cfRule type="expression" priority="34" aboveAverage="0" equalAverage="0" bottom="0" percent="0" rank="0" text="" dxfId="4">
      <formula>C$3&lt;=$F$46</formula>
    </cfRule>
  </conditionalFormatting>
  <conditionalFormatting sqref="C51:N51">
    <cfRule type="expression" priority="35" aboveAverage="0" equalAverage="0" bottom="0" percent="0" rank="0" text="" dxfId="0">
      <formula>AND(C51&lt;&gt;"",C51&lt;$D$46)</formula>
    </cfRule>
    <cfRule type="expression" priority="36" aboveAverage="0" equalAverage="0" bottom="0" percent="0" rank="0" text="" dxfId="1">
      <formula>AND(C51&lt;&gt;"",C51&gt;$D$46+1)</formula>
    </cfRule>
    <cfRule type="expression" priority="37" aboveAverage="0" equalAverage="0" bottom="0" percent="0" rank="0" text="" dxfId="2">
      <formula>AND(C51&lt;&gt;"",C51&gt;=$D$46,C51&lt;=$D$46+1)</formula>
    </cfRule>
  </conditionalFormatting>
  <conditionalFormatting sqref="C55:N55">
    <cfRule type="expression" priority="38" aboveAverage="0" equalAverage="0" bottom="0" percent="0" rank="0" text="" dxfId="3">
      <formula>AND(ISNUMBER(Calculation!C87),Calculation!C87&gt;0)</formula>
    </cfRule>
  </conditionalFormatting>
  <conditionalFormatting sqref="C56:N56">
    <cfRule type="expression" priority="39" aboveAverage="0" equalAverage="0" bottom="0" percent="0" rank="0" text="" dxfId="3">
      <formula>Calculation!C81&gt;0</formula>
    </cfRule>
    <cfRule type="expression" priority="40" aboveAverage="0" equalAverage="0" bottom="0" percent="0" rank="0" text="" dxfId="4">
      <formula>C$3&lt;=$F$54</formula>
    </cfRule>
  </conditionalFormatting>
  <conditionalFormatting sqref="C59:N59">
    <cfRule type="expression" priority="41" aboveAverage="0" equalAverage="0" bottom="0" percent="0" rank="0" text="" dxfId="0">
      <formula>AND(C59&lt;&gt;"",C59&lt;$D$54)</formula>
    </cfRule>
    <cfRule type="expression" priority="42" aboveAverage="0" equalAverage="0" bottom="0" percent="0" rank="0" text="" dxfId="1">
      <formula>AND(C59&lt;&gt;"",C59&gt;$D$54+1)</formula>
    </cfRule>
    <cfRule type="expression" priority="43" aboveAverage="0" equalAverage="0" bottom="0" percent="0" rank="0" text="" dxfId="2">
      <formula>AND(C59&lt;&gt;"",C59&gt;=$D$54,C59&lt;=$D$54+1)</formula>
    </cfRule>
  </conditionalFormatting>
  <conditionalFormatting sqref="C63:N63">
    <cfRule type="expression" priority="44" aboveAverage="0" equalAverage="0" bottom="0" percent="0" rank="0" text="" dxfId="3">
      <formula>AND(ISNUMBER(Calculation!C99),Calculation!C99&gt;0)</formula>
    </cfRule>
  </conditionalFormatting>
  <conditionalFormatting sqref="C64:N64">
    <cfRule type="expression" priority="45" aboveAverage="0" equalAverage="0" bottom="0" percent="0" rank="0" text="" dxfId="3">
      <formula>Calculation!C93&gt;0</formula>
    </cfRule>
    <cfRule type="expression" priority="46" aboveAverage="0" equalAverage="0" bottom="0" percent="0" rank="0" text="" dxfId="4">
      <formula>C$3&lt;=$F$62</formula>
    </cfRule>
  </conditionalFormatting>
  <conditionalFormatting sqref="C67:N67">
    <cfRule type="expression" priority="47" aboveAverage="0" equalAverage="0" bottom="0" percent="0" rank="0" text="" dxfId="0">
      <formula>AND(C67&lt;&gt;"",C67&lt;$D$62)</formula>
    </cfRule>
    <cfRule type="expression" priority="48" aboveAverage="0" equalAverage="0" bottom="0" percent="0" rank="0" text="" dxfId="1">
      <formula>AND(C67&lt;&gt;"",C67&gt;$D$62+1)</formula>
    </cfRule>
    <cfRule type="expression" priority="49" aboveAverage="0" equalAverage="0" bottom="0" percent="0" rank="0" text="" dxfId="2">
      <formula>AND(C67&lt;&gt;"",C67&gt;=$D$62,C67&lt;=$D$62+1)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23" t="s">
        <v>41</v>
      </c>
      <c r="B1" s="23" t="s">
        <v>42</v>
      </c>
      <c r="C1" s="23" t="s">
        <v>60</v>
      </c>
      <c r="D1" s="23" t="s">
        <v>61</v>
      </c>
    </row>
    <row r="2" customFormat="false" ht="15" hidden="false" customHeight="false" outlineLevel="0" collapsed="false">
      <c r="A2" s="24" t="s">
        <v>62</v>
      </c>
      <c r="B2" s="24" t="s">
        <v>63</v>
      </c>
      <c r="C2" s="24" t="n">
        <v>3</v>
      </c>
      <c r="D2" s="24" t="n">
        <v>3</v>
      </c>
    </row>
    <row r="3" customFormat="false" ht="15" hidden="false" customHeight="false" outlineLevel="0" collapsed="false">
      <c r="A3" s="24" t="s">
        <v>62</v>
      </c>
      <c r="B3" s="24" t="s">
        <v>64</v>
      </c>
      <c r="C3" s="24" t="n">
        <v>3</v>
      </c>
      <c r="D3" s="24" t="n">
        <v>3</v>
      </c>
    </row>
    <row r="4" customFormat="false" ht="15" hidden="false" customHeight="false" outlineLevel="0" collapsed="false">
      <c r="A4" s="24" t="s">
        <v>62</v>
      </c>
      <c r="B4" s="24" t="s">
        <v>65</v>
      </c>
      <c r="C4" s="24" t="n">
        <v>3</v>
      </c>
      <c r="D4" s="24" t="n">
        <v>3</v>
      </c>
    </row>
    <row r="5" customFormat="false" ht="15" hidden="false" customHeight="false" outlineLevel="0" collapsed="false">
      <c r="A5" s="24" t="s">
        <v>66</v>
      </c>
      <c r="B5" s="24" t="s">
        <v>67</v>
      </c>
      <c r="C5" s="24" t="n">
        <v>2</v>
      </c>
      <c r="D5" s="24" t="n">
        <v>3</v>
      </c>
    </row>
    <row r="6" customFormat="false" ht="15" hidden="false" customHeight="false" outlineLevel="0" collapsed="false">
      <c r="A6" s="24" t="s">
        <v>66</v>
      </c>
      <c r="B6" s="24" t="s">
        <v>68</v>
      </c>
      <c r="C6" s="24" t="n">
        <v>2</v>
      </c>
      <c r="D6" s="24" t="n">
        <v>3</v>
      </c>
    </row>
    <row r="7" customFormat="false" ht="15" hidden="false" customHeight="false" outlineLevel="0" collapsed="false">
      <c r="A7" s="24" t="s">
        <v>66</v>
      </c>
      <c r="B7" s="24" t="s">
        <v>69</v>
      </c>
      <c r="C7" s="24" t="n">
        <v>2</v>
      </c>
      <c r="D7" s="24" t="n">
        <v>3</v>
      </c>
    </row>
    <row r="8" customFormat="false" ht="15" hidden="false" customHeight="false" outlineLevel="0" collapsed="false">
      <c r="A8" s="24" t="s">
        <v>66</v>
      </c>
      <c r="B8" s="24" t="s">
        <v>70</v>
      </c>
      <c r="C8" s="24" t="n">
        <v>2</v>
      </c>
      <c r="D8" s="24" t="n">
        <v>3</v>
      </c>
    </row>
    <row r="9" customFormat="false" ht="15" hidden="false" customHeight="false" outlineLevel="0" collapsed="false">
      <c r="A9" s="24" t="s">
        <v>66</v>
      </c>
      <c r="B9" s="24" t="s">
        <v>71</v>
      </c>
      <c r="C9" s="24" t="n">
        <v>2</v>
      </c>
      <c r="D9" s="2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23" t="s">
        <v>41</v>
      </c>
      <c r="B1" s="23" t="s">
        <v>42</v>
      </c>
      <c r="C1" s="23" t="s">
        <v>52</v>
      </c>
      <c r="D1" s="23" t="s">
        <v>72</v>
      </c>
    </row>
    <row r="2" customFormat="false" ht="15" hidden="false" customHeight="false" outlineLevel="0" collapsed="false">
      <c r="A2" s="24" t="s">
        <v>62</v>
      </c>
      <c r="B2" s="24" t="s">
        <v>63</v>
      </c>
      <c r="C2" s="25" t="n">
        <v>46327</v>
      </c>
      <c r="D2" s="24" t="n">
        <v>80</v>
      </c>
    </row>
    <row r="3" customFormat="false" ht="15" hidden="false" customHeight="false" outlineLevel="0" collapsed="false">
      <c r="A3" s="24" t="s">
        <v>62</v>
      </c>
      <c r="B3" s="24" t="s">
        <v>64</v>
      </c>
      <c r="C3" s="25" t="n">
        <v>46327</v>
      </c>
      <c r="D3" s="24" t="n">
        <v>210</v>
      </c>
    </row>
    <row r="4" customFormat="false" ht="15" hidden="false" customHeight="false" outlineLevel="0" collapsed="false">
      <c r="A4" s="24" t="s">
        <v>62</v>
      </c>
      <c r="B4" s="24" t="s">
        <v>65</v>
      </c>
      <c r="C4" s="25" t="n">
        <v>46327</v>
      </c>
      <c r="D4" s="24" t="n">
        <v>45</v>
      </c>
    </row>
    <row r="5" customFormat="false" ht="15" hidden="false" customHeight="false" outlineLevel="0" collapsed="false">
      <c r="A5" s="24" t="s">
        <v>66</v>
      </c>
      <c r="B5" s="24" t="s">
        <v>67</v>
      </c>
      <c r="C5" s="25" t="n">
        <v>46327</v>
      </c>
      <c r="D5" s="24" t="n">
        <v>14</v>
      </c>
    </row>
    <row r="6" customFormat="false" ht="15" hidden="false" customHeight="false" outlineLevel="0" collapsed="false">
      <c r="A6" s="24" t="s">
        <v>66</v>
      </c>
      <c r="B6" s="24" t="s">
        <v>68</v>
      </c>
      <c r="C6" s="25" t="n">
        <v>46327</v>
      </c>
      <c r="D6" s="24" t="n">
        <v>25</v>
      </c>
    </row>
    <row r="7" customFormat="false" ht="15" hidden="false" customHeight="false" outlineLevel="0" collapsed="false">
      <c r="A7" s="24" t="s">
        <v>66</v>
      </c>
      <c r="B7" s="24" t="s">
        <v>69</v>
      </c>
      <c r="C7" s="25" t="n">
        <v>46327</v>
      </c>
      <c r="D7" s="24" t="n">
        <v>19</v>
      </c>
    </row>
    <row r="8" customFormat="false" ht="15" hidden="false" customHeight="false" outlineLevel="0" collapsed="false">
      <c r="A8" s="24" t="s">
        <v>66</v>
      </c>
      <c r="B8" s="24" t="s">
        <v>70</v>
      </c>
      <c r="C8" s="25" t="n">
        <v>46327</v>
      </c>
      <c r="D8" s="24" t="n">
        <v>9</v>
      </c>
    </row>
    <row r="9" customFormat="false" ht="15" hidden="false" customHeight="false" outlineLevel="0" collapsed="false">
      <c r="A9" s="24" t="s">
        <v>66</v>
      </c>
      <c r="B9" s="24" t="s">
        <v>71</v>
      </c>
      <c r="C9" s="25" t="n">
        <v>46327</v>
      </c>
      <c r="D9" s="24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23" t="s">
        <v>41</v>
      </c>
      <c r="B1" s="23" t="s">
        <v>42</v>
      </c>
      <c r="C1" s="23" t="s">
        <v>52</v>
      </c>
      <c r="D1" s="23" t="s">
        <v>73</v>
      </c>
      <c r="E1" s="23" t="s">
        <v>74</v>
      </c>
      <c r="F1" s="23" t="s">
        <v>75</v>
      </c>
    </row>
    <row r="2" customFormat="false" ht="15" hidden="false" customHeight="false" outlineLevel="0" collapsed="false">
      <c r="A2" s="24" t="s">
        <v>62</v>
      </c>
      <c r="B2" s="24" t="s">
        <v>63</v>
      </c>
      <c r="C2" s="25" t="n">
        <v>46235</v>
      </c>
      <c r="D2" s="24" t="n">
        <v>19</v>
      </c>
      <c r="E2" s="24" t="s">
        <v>76</v>
      </c>
      <c r="F2" s="24"/>
    </row>
    <row r="3" customFormat="false" ht="15" hidden="false" customHeight="false" outlineLevel="0" collapsed="false">
      <c r="A3" s="24" t="s">
        <v>62</v>
      </c>
      <c r="B3" s="24" t="s">
        <v>63</v>
      </c>
      <c r="C3" s="25" t="n">
        <v>46266</v>
      </c>
      <c r="D3" s="24" t="n">
        <v>21</v>
      </c>
      <c r="E3" s="24" t="s">
        <v>76</v>
      </c>
      <c r="F3" s="24"/>
    </row>
    <row r="4" customFormat="false" ht="15" hidden="false" customHeight="false" outlineLevel="0" collapsed="false">
      <c r="A4" s="24" t="s">
        <v>62</v>
      </c>
      <c r="B4" s="24" t="s">
        <v>63</v>
      </c>
      <c r="C4" s="25" t="n">
        <v>46296</v>
      </c>
      <c r="D4" s="24" t="n">
        <v>26</v>
      </c>
      <c r="E4" s="24" t="s">
        <v>76</v>
      </c>
      <c r="F4" s="24"/>
    </row>
    <row r="5" customFormat="false" ht="15" hidden="false" customHeight="false" outlineLevel="0" collapsed="false">
      <c r="A5" s="24" t="s">
        <v>62</v>
      </c>
      <c r="B5" s="24" t="s">
        <v>63</v>
      </c>
      <c r="C5" s="25" t="n">
        <v>46327</v>
      </c>
      <c r="D5" s="24" t="n">
        <v>25</v>
      </c>
      <c r="E5" s="24" t="s">
        <v>77</v>
      </c>
      <c r="F5" s="24"/>
    </row>
    <row r="6" customFormat="false" ht="15" hidden="false" customHeight="false" outlineLevel="0" collapsed="false">
      <c r="A6" s="24" t="s">
        <v>62</v>
      </c>
      <c r="B6" s="24" t="s">
        <v>63</v>
      </c>
      <c r="C6" s="25" t="n">
        <v>46357</v>
      </c>
      <c r="D6" s="24" t="n">
        <v>29</v>
      </c>
      <c r="E6" s="24" t="s">
        <v>77</v>
      </c>
      <c r="F6" s="24"/>
    </row>
    <row r="7" customFormat="false" ht="15" hidden="false" customHeight="false" outlineLevel="0" collapsed="false">
      <c r="A7" s="24" t="s">
        <v>62</v>
      </c>
      <c r="B7" s="24" t="s">
        <v>63</v>
      </c>
      <c r="C7" s="25" t="n">
        <v>46388</v>
      </c>
      <c r="D7" s="24" t="n">
        <v>26</v>
      </c>
      <c r="E7" s="24" t="s">
        <v>77</v>
      </c>
      <c r="F7" s="24"/>
    </row>
    <row r="8" customFormat="false" ht="15" hidden="false" customHeight="false" outlineLevel="0" collapsed="false">
      <c r="A8" s="24" t="s">
        <v>62</v>
      </c>
      <c r="B8" s="24" t="s">
        <v>63</v>
      </c>
      <c r="C8" s="25" t="n">
        <v>46419</v>
      </c>
      <c r="D8" s="24" t="n">
        <v>30</v>
      </c>
      <c r="E8" s="24" t="s">
        <v>77</v>
      </c>
      <c r="F8" s="24"/>
    </row>
    <row r="9" customFormat="false" ht="15" hidden="false" customHeight="false" outlineLevel="0" collapsed="false">
      <c r="A9" s="24" t="s">
        <v>62</v>
      </c>
      <c r="B9" s="24" t="s">
        <v>63</v>
      </c>
      <c r="C9" s="25" t="n">
        <v>46447</v>
      </c>
      <c r="D9" s="24" t="n">
        <v>28</v>
      </c>
      <c r="E9" s="24" t="s">
        <v>77</v>
      </c>
      <c r="F9" s="24"/>
    </row>
    <row r="10" customFormat="false" ht="15" hidden="false" customHeight="false" outlineLevel="0" collapsed="false">
      <c r="A10" s="24" t="s">
        <v>62</v>
      </c>
      <c r="B10" s="24" t="s">
        <v>63</v>
      </c>
      <c r="C10" s="25" t="n">
        <v>46478</v>
      </c>
      <c r="D10" s="24" t="n">
        <v>24</v>
      </c>
      <c r="E10" s="24" t="s">
        <v>77</v>
      </c>
      <c r="F10" s="24"/>
    </row>
    <row r="11" customFormat="false" ht="15" hidden="false" customHeight="false" outlineLevel="0" collapsed="false">
      <c r="A11" s="24" t="s">
        <v>62</v>
      </c>
      <c r="B11" s="24" t="s">
        <v>63</v>
      </c>
      <c r="C11" s="25" t="n">
        <v>46508</v>
      </c>
      <c r="D11" s="24" t="n">
        <v>22</v>
      </c>
      <c r="E11" s="24" t="s">
        <v>77</v>
      </c>
      <c r="F11" s="24"/>
    </row>
    <row r="12" customFormat="false" ht="15" hidden="false" customHeight="false" outlineLevel="0" collapsed="false">
      <c r="A12" s="24" t="s">
        <v>62</v>
      </c>
      <c r="B12" s="24" t="s">
        <v>63</v>
      </c>
      <c r="C12" s="25" t="n">
        <v>46539</v>
      </c>
      <c r="D12" s="24" t="n">
        <v>20</v>
      </c>
      <c r="E12" s="24" t="s">
        <v>77</v>
      </c>
      <c r="F12" s="24"/>
    </row>
    <row r="13" customFormat="false" ht="15" hidden="false" customHeight="false" outlineLevel="0" collapsed="false">
      <c r="A13" s="24" t="s">
        <v>62</v>
      </c>
      <c r="B13" s="24" t="s">
        <v>63</v>
      </c>
      <c r="C13" s="25" t="n">
        <v>46569</v>
      </c>
      <c r="D13" s="24" t="n">
        <v>19</v>
      </c>
      <c r="E13" s="24" t="s">
        <v>77</v>
      </c>
      <c r="F13" s="24"/>
    </row>
    <row r="14" customFormat="false" ht="15" hidden="false" customHeight="false" outlineLevel="0" collapsed="false">
      <c r="A14" s="24" t="s">
        <v>62</v>
      </c>
      <c r="B14" s="24" t="s">
        <v>63</v>
      </c>
      <c r="C14" s="25" t="n">
        <v>46600</v>
      </c>
      <c r="D14" s="24" t="n">
        <v>20</v>
      </c>
      <c r="E14" s="24" t="s">
        <v>77</v>
      </c>
      <c r="F14" s="24"/>
    </row>
    <row r="15" customFormat="false" ht="15" hidden="false" customHeight="false" outlineLevel="0" collapsed="false">
      <c r="A15" s="24" t="s">
        <v>62</v>
      </c>
      <c r="B15" s="24" t="s">
        <v>63</v>
      </c>
      <c r="C15" s="25" t="n">
        <v>46631</v>
      </c>
      <c r="D15" s="24" t="n">
        <v>24</v>
      </c>
      <c r="E15" s="24" t="s">
        <v>77</v>
      </c>
      <c r="F15" s="24"/>
    </row>
    <row r="16" customFormat="false" ht="15" hidden="false" customHeight="false" outlineLevel="0" collapsed="false">
      <c r="A16" s="24" t="s">
        <v>62</v>
      </c>
      <c r="B16" s="24" t="s">
        <v>63</v>
      </c>
      <c r="C16" s="25" t="n">
        <v>46661</v>
      </c>
      <c r="D16" s="24" t="n">
        <v>25</v>
      </c>
      <c r="E16" s="24" t="s">
        <v>77</v>
      </c>
      <c r="F16" s="24"/>
    </row>
    <row r="17" customFormat="false" ht="15" hidden="false" customHeight="false" outlineLevel="0" collapsed="false">
      <c r="A17" s="24" t="s">
        <v>62</v>
      </c>
      <c r="B17" s="24" t="s">
        <v>63</v>
      </c>
      <c r="C17" s="25" t="n">
        <v>46692</v>
      </c>
      <c r="D17" s="24" t="n">
        <v>25</v>
      </c>
      <c r="E17" s="24" t="s">
        <v>77</v>
      </c>
      <c r="F17" s="24"/>
    </row>
    <row r="18" customFormat="false" ht="15" hidden="false" customHeight="false" outlineLevel="0" collapsed="false">
      <c r="A18" s="24" t="s">
        <v>62</v>
      </c>
      <c r="B18" s="24" t="s">
        <v>63</v>
      </c>
      <c r="C18" s="25" t="n">
        <v>46722</v>
      </c>
      <c r="D18" s="24" t="n">
        <v>29</v>
      </c>
      <c r="E18" s="24" t="s">
        <v>77</v>
      </c>
      <c r="F18" s="24"/>
    </row>
    <row r="19" customFormat="false" ht="15" hidden="false" customHeight="false" outlineLevel="0" collapsed="false">
      <c r="A19" s="24" t="s">
        <v>62</v>
      </c>
      <c r="B19" s="24" t="s">
        <v>63</v>
      </c>
      <c r="C19" s="25" t="n">
        <v>46753</v>
      </c>
      <c r="D19" s="24" t="n">
        <v>26</v>
      </c>
      <c r="E19" s="24" t="s">
        <v>77</v>
      </c>
      <c r="F19" s="24"/>
    </row>
    <row r="20" customFormat="false" ht="15" hidden="false" customHeight="false" outlineLevel="0" collapsed="false">
      <c r="A20" s="24" t="s">
        <v>62</v>
      </c>
      <c r="B20" s="24" t="s">
        <v>64</v>
      </c>
      <c r="C20" s="25" t="n">
        <v>46235</v>
      </c>
      <c r="D20" s="24" t="n">
        <v>24</v>
      </c>
      <c r="E20" s="24" t="s">
        <v>76</v>
      </c>
      <c r="F20" s="24"/>
    </row>
    <row r="21" customFormat="false" ht="15" hidden="false" customHeight="false" outlineLevel="0" collapsed="false">
      <c r="A21" s="24" t="s">
        <v>62</v>
      </c>
      <c r="B21" s="24" t="s">
        <v>64</v>
      </c>
      <c r="C21" s="25" t="n">
        <v>46266</v>
      </c>
      <c r="D21" s="24" t="n">
        <v>34</v>
      </c>
      <c r="E21" s="24" t="s">
        <v>76</v>
      </c>
      <c r="F21" s="24"/>
    </row>
    <row r="22" customFormat="false" ht="15" hidden="false" customHeight="false" outlineLevel="0" collapsed="false">
      <c r="A22" s="24" t="s">
        <v>62</v>
      </c>
      <c r="B22" s="24" t="s">
        <v>64</v>
      </c>
      <c r="C22" s="25" t="n">
        <v>46296</v>
      </c>
      <c r="D22" s="24" t="n">
        <v>34</v>
      </c>
      <c r="E22" s="24" t="s">
        <v>76</v>
      </c>
      <c r="F22" s="24"/>
    </row>
    <row r="23" customFormat="false" ht="15" hidden="false" customHeight="false" outlineLevel="0" collapsed="false">
      <c r="A23" s="24" t="s">
        <v>62</v>
      </c>
      <c r="B23" s="24" t="s">
        <v>64</v>
      </c>
      <c r="C23" s="25" t="n">
        <v>46327</v>
      </c>
      <c r="D23" s="24" t="n">
        <v>35</v>
      </c>
      <c r="E23" s="24" t="s">
        <v>77</v>
      </c>
      <c r="F23" s="24"/>
    </row>
    <row r="24" customFormat="false" ht="15" hidden="false" customHeight="false" outlineLevel="0" collapsed="false">
      <c r="A24" s="24" t="s">
        <v>62</v>
      </c>
      <c r="B24" s="24" t="s">
        <v>64</v>
      </c>
      <c r="C24" s="25" t="n">
        <v>46357</v>
      </c>
      <c r="D24" s="24" t="n">
        <v>40</v>
      </c>
      <c r="E24" s="24" t="s">
        <v>77</v>
      </c>
      <c r="F24" s="24"/>
    </row>
    <row r="25" customFormat="false" ht="15" hidden="false" customHeight="false" outlineLevel="0" collapsed="false">
      <c r="A25" s="24" t="s">
        <v>62</v>
      </c>
      <c r="B25" s="24" t="s">
        <v>64</v>
      </c>
      <c r="C25" s="25" t="n">
        <v>46388</v>
      </c>
      <c r="D25" s="24" t="n">
        <v>37</v>
      </c>
      <c r="E25" s="24" t="s">
        <v>77</v>
      </c>
      <c r="F25" s="24"/>
    </row>
    <row r="26" customFormat="false" ht="15" hidden="false" customHeight="false" outlineLevel="0" collapsed="false">
      <c r="A26" s="24" t="s">
        <v>62</v>
      </c>
      <c r="B26" s="24" t="s">
        <v>64</v>
      </c>
      <c r="C26" s="25" t="n">
        <v>46419</v>
      </c>
      <c r="D26" s="24" t="n">
        <v>42</v>
      </c>
      <c r="E26" s="24" t="s">
        <v>77</v>
      </c>
      <c r="F26" s="24"/>
    </row>
    <row r="27" customFormat="false" ht="15" hidden="false" customHeight="false" outlineLevel="0" collapsed="false">
      <c r="A27" s="24" t="s">
        <v>62</v>
      </c>
      <c r="B27" s="24" t="s">
        <v>64</v>
      </c>
      <c r="C27" s="25" t="n">
        <v>46447</v>
      </c>
      <c r="D27" s="24" t="n">
        <v>38</v>
      </c>
      <c r="E27" s="24" t="s">
        <v>77</v>
      </c>
      <c r="F27" s="24"/>
    </row>
    <row r="28" customFormat="false" ht="15" hidden="false" customHeight="false" outlineLevel="0" collapsed="false">
      <c r="A28" s="24" t="s">
        <v>62</v>
      </c>
      <c r="B28" s="24" t="s">
        <v>64</v>
      </c>
      <c r="C28" s="25" t="n">
        <v>46478</v>
      </c>
      <c r="D28" s="24" t="n">
        <v>33</v>
      </c>
      <c r="E28" s="24" t="s">
        <v>77</v>
      </c>
      <c r="F28" s="24"/>
    </row>
    <row r="29" customFormat="false" ht="15" hidden="false" customHeight="false" outlineLevel="0" collapsed="false">
      <c r="A29" s="24" t="s">
        <v>62</v>
      </c>
      <c r="B29" s="24" t="s">
        <v>64</v>
      </c>
      <c r="C29" s="25" t="n">
        <v>46508</v>
      </c>
      <c r="D29" s="24" t="n">
        <v>32</v>
      </c>
      <c r="E29" s="24" t="s">
        <v>77</v>
      </c>
      <c r="F29" s="24"/>
    </row>
    <row r="30" customFormat="false" ht="15" hidden="false" customHeight="false" outlineLevel="0" collapsed="false">
      <c r="A30" s="24" t="s">
        <v>62</v>
      </c>
      <c r="B30" s="24" t="s">
        <v>64</v>
      </c>
      <c r="C30" s="25" t="n">
        <v>46539</v>
      </c>
      <c r="D30" s="24" t="n">
        <v>28</v>
      </c>
      <c r="E30" s="24" t="s">
        <v>77</v>
      </c>
      <c r="F30" s="24"/>
    </row>
    <row r="31" customFormat="false" ht="15" hidden="false" customHeight="false" outlineLevel="0" collapsed="false">
      <c r="A31" s="24" t="s">
        <v>62</v>
      </c>
      <c r="B31" s="24" t="s">
        <v>64</v>
      </c>
      <c r="C31" s="25" t="n">
        <v>46569</v>
      </c>
      <c r="D31" s="24" t="n">
        <v>26</v>
      </c>
      <c r="E31" s="24" t="s">
        <v>77</v>
      </c>
      <c r="F31" s="24"/>
    </row>
    <row r="32" customFormat="false" ht="15" hidden="false" customHeight="false" outlineLevel="0" collapsed="false">
      <c r="A32" s="24" t="s">
        <v>62</v>
      </c>
      <c r="B32" s="24" t="s">
        <v>64</v>
      </c>
      <c r="C32" s="25" t="n">
        <v>46600</v>
      </c>
      <c r="D32" s="24" t="n">
        <v>28</v>
      </c>
      <c r="E32" s="24" t="s">
        <v>77</v>
      </c>
      <c r="F32" s="24"/>
    </row>
    <row r="33" customFormat="false" ht="15" hidden="false" customHeight="false" outlineLevel="0" collapsed="false">
      <c r="A33" s="24" t="s">
        <v>62</v>
      </c>
      <c r="B33" s="24" t="s">
        <v>64</v>
      </c>
      <c r="C33" s="25" t="n">
        <v>46631</v>
      </c>
      <c r="D33" s="24" t="n">
        <v>33</v>
      </c>
      <c r="E33" s="24" t="s">
        <v>77</v>
      </c>
      <c r="F33" s="24"/>
    </row>
    <row r="34" customFormat="false" ht="15" hidden="false" customHeight="false" outlineLevel="0" collapsed="false">
      <c r="A34" s="24" t="s">
        <v>62</v>
      </c>
      <c r="B34" s="24" t="s">
        <v>64</v>
      </c>
      <c r="C34" s="25" t="n">
        <v>46661</v>
      </c>
      <c r="D34" s="24" t="n">
        <v>35</v>
      </c>
      <c r="E34" s="24" t="s">
        <v>77</v>
      </c>
      <c r="F34" s="24"/>
    </row>
    <row r="35" customFormat="false" ht="15" hidden="false" customHeight="false" outlineLevel="0" collapsed="false">
      <c r="A35" s="24" t="s">
        <v>62</v>
      </c>
      <c r="B35" s="24" t="s">
        <v>64</v>
      </c>
      <c r="C35" s="25" t="n">
        <v>46692</v>
      </c>
      <c r="D35" s="24" t="n">
        <v>35</v>
      </c>
      <c r="E35" s="24" t="s">
        <v>77</v>
      </c>
      <c r="F35" s="24"/>
    </row>
    <row r="36" customFormat="false" ht="15" hidden="false" customHeight="false" outlineLevel="0" collapsed="false">
      <c r="A36" s="24" t="s">
        <v>62</v>
      </c>
      <c r="B36" s="24" t="s">
        <v>64</v>
      </c>
      <c r="C36" s="25" t="n">
        <v>46722</v>
      </c>
      <c r="D36" s="24" t="n">
        <v>40</v>
      </c>
      <c r="E36" s="24" t="s">
        <v>77</v>
      </c>
      <c r="F36" s="24"/>
    </row>
    <row r="37" customFormat="false" ht="15" hidden="false" customHeight="false" outlineLevel="0" collapsed="false">
      <c r="A37" s="24" t="s">
        <v>62</v>
      </c>
      <c r="B37" s="24" t="s">
        <v>64</v>
      </c>
      <c r="C37" s="25" t="n">
        <v>46753</v>
      </c>
      <c r="D37" s="24" t="n">
        <v>37</v>
      </c>
      <c r="E37" s="24" t="s">
        <v>77</v>
      </c>
      <c r="F37" s="24"/>
    </row>
    <row r="38" customFormat="false" ht="15" hidden="false" customHeight="false" outlineLevel="0" collapsed="false">
      <c r="A38" s="24" t="s">
        <v>62</v>
      </c>
      <c r="B38" s="24" t="s">
        <v>65</v>
      </c>
      <c r="C38" s="25" t="n">
        <v>46235</v>
      </c>
      <c r="D38" s="24" t="n">
        <v>14</v>
      </c>
      <c r="E38" s="24" t="s">
        <v>76</v>
      </c>
      <c r="F38" s="24"/>
    </row>
    <row r="39" customFormat="false" ht="15" hidden="false" customHeight="false" outlineLevel="0" collapsed="false">
      <c r="A39" s="24" t="s">
        <v>62</v>
      </c>
      <c r="B39" s="24" t="s">
        <v>65</v>
      </c>
      <c r="C39" s="25" t="n">
        <v>46266</v>
      </c>
      <c r="D39" s="24" t="n">
        <v>19</v>
      </c>
      <c r="E39" s="24" t="s">
        <v>76</v>
      </c>
      <c r="F39" s="24"/>
    </row>
    <row r="40" customFormat="false" ht="15" hidden="false" customHeight="false" outlineLevel="0" collapsed="false">
      <c r="A40" s="24" t="s">
        <v>62</v>
      </c>
      <c r="B40" s="24" t="s">
        <v>65</v>
      </c>
      <c r="C40" s="25" t="n">
        <v>46296</v>
      </c>
      <c r="D40" s="24" t="n">
        <v>17</v>
      </c>
      <c r="E40" s="24" t="s">
        <v>76</v>
      </c>
      <c r="F40" s="24"/>
    </row>
    <row r="41" customFormat="false" ht="15" hidden="false" customHeight="false" outlineLevel="0" collapsed="false">
      <c r="A41" s="24" t="s">
        <v>62</v>
      </c>
      <c r="B41" s="24" t="s">
        <v>65</v>
      </c>
      <c r="C41" s="25" t="n">
        <v>46327</v>
      </c>
      <c r="D41" s="24" t="n">
        <v>20</v>
      </c>
      <c r="E41" s="24" t="s">
        <v>77</v>
      </c>
      <c r="F41" s="24"/>
    </row>
    <row r="42" customFormat="false" ht="15" hidden="false" customHeight="false" outlineLevel="0" collapsed="false">
      <c r="A42" s="24" t="s">
        <v>62</v>
      </c>
      <c r="B42" s="24" t="s">
        <v>65</v>
      </c>
      <c r="C42" s="25" t="n">
        <v>46357</v>
      </c>
      <c r="D42" s="24" t="n">
        <v>23</v>
      </c>
      <c r="E42" s="24" t="s">
        <v>77</v>
      </c>
      <c r="F42" s="24"/>
    </row>
    <row r="43" customFormat="false" ht="15" hidden="false" customHeight="false" outlineLevel="0" collapsed="false">
      <c r="A43" s="24" t="s">
        <v>62</v>
      </c>
      <c r="B43" s="24" t="s">
        <v>65</v>
      </c>
      <c r="C43" s="25" t="n">
        <v>46388</v>
      </c>
      <c r="D43" s="24" t="n">
        <v>21</v>
      </c>
      <c r="E43" s="24" t="s">
        <v>77</v>
      </c>
      <c r="F43" s="24"/>
    </row>
    <row r="44" customFormat="false" ht="15" hidden="false" customHeight="false" outlineLevel="0" collapsed="false">
      <c r="A44" s="24" t="s">
        <v>62</v>
      </c>
      <c r="B44" s="24" t="s">
        <v>65</v>
      </c>
      <c r="C44" s="25" t="n">
        <v>46419</v>
      </c>
      <c r="D44" s="24" t="n">
        <v>24</v>
      </c>
      <c r="E44" s="24" t="s">
        <v>77</v>
      </c>
      <c r="F44" s="24"/>
    </row>
    <row r="45" customFormat="false" ht="15" hidden="false" customHeight="false" outlineLevel="0" collapsed="false">
      <c r="A45" s="24" t="s">
        <v>62</v>
      </c>
      <c r="B45" s="24" t="s">
        <v>65</v>
      </c>
      <c r="C45" s="25" t="n">
        <v>46447</v>
      </c>
      <c r="D45" s="24" t="n">
        <v>22</v>
      </c>
      <c r="E45" s="24" t="s">
        <v>77</v>
      </c>
      <c r="F45" s="24"/>
    </row>
    <row r="46" customFormat="false" ht="15" hidden="false" customHeight="false" outlineLevel="0" collapsed="false">
      <c r="A46" s="24" t="s">
        <v>62</v>
      </c>
      <c r="B46" s="24" t="s">
        <v>65</v>
      </c>
      <c r="C46" s="25" t="n">
        <v>46478</v>
      </c>
      <c r="D46" s="24" t="n">
        <v>59</v>
      </c>
      <c r="E46" s="24" t="s">
        <v>77</v>
      </c>
      <c r="F46" s="24" t="s">
        <v>78</v>
      </c>
    </row>
    <row r="47" customFormat="false" ht="15" hidden="false" customHeight="false" outlineLevel="0" collapsed="false">
      <c r="A47" s="24" t="s">
        <v>62</v>
      </c>
      <c r="B47" s="24" t="s">
        <v>65</v>
      </c>
      <c r="C47" s="25" t="n">
        <v>46508</v>
      </c>
      <c r="D47" s="24" t="n">
        <v>18</v>
      </c>
      <c r="E47" s="24" t="s">
        <v>77</v>
      </c>
      <c r="F47" s="24"/>
    </row>
    <row r="48" customFormat="false" ht="15" hidden="false" customHeight="false" outlineLevel="0" collapsed="false">
      <c r="A48" s="24" t="s">
        <v>62</v>
      </c>
      <c r="B48" s="24" t="s">
        <v>65</v>
      </c>
      <c r="C48" s="25" t="n">
        <v>46539</v>
      </c>
      <c r="D48" s="24" t="n">
        <v>16</v>
      </c>
      <c r="E48" s="24" t="s">
        <v>77</v>
      </c>
      <c r="F48" s="24"/>
    </row>
    <row r="49" customFormat="false" ht="15" hidden="false" customHeight="false" outlineLevel="0" collapsed="false">
      <c r="A49" s="24" t="s">
        <v>62</v>
      </c>
      <c r="B49" s="24" t="s">
        <v>65</v>
      </c>
      <c r="C49" s="25" t="n">
        <v>46569</v>
      </c>
      <c r="D49" s="24" t="n">
        <v>15</v>
      </c>
      <c r="E49" s="24" t="s">
        <v>77</v>
      </c>
      <c r="F49" s="24"/>
    </row>
    <row r="50" customFormat="false" ht="15" hidden="false" customHeight="false" outlineLevel="0" collapsed="false">
      <c r="A50" s="24" t="s">
        <v>62</v>
      </c>
      <c r="B50" s="24" t="s">
        <v>65</v>
      </c>
      <c r="C50" s="25" t="n">
        <v>46600</v>
      </c>
      <c r="D50" s="24" t="n">
        <v>16</v>
      </c>
      <c r="E50" s="24" t="s">
        <v>77</v>
      </c>
      <c r="F50" s="24"/>
    </row>
    <row r="51" customFormat="false" ht="15" hidden="false" customHeight="false" outlineLevel="0" collapsed="false">
      <c r="A51" s="24" t="s">
        <v>62</v>
      </c>
      <c r="B51" s="24" t="s">
        <v>65</v>
      </c>
      <c r="C51" s="25" t="n">
        <v>46631</v>
      </c>
      <c r="D51" s="24" t="n">
        <v>19</v>
      </c>
      <c r="E51" s="24" t="s">
        <v>77</v>
      </c>
      <c r="F51" s="24"/>
    </row>
    <row r="52" customFormat="false" ht="15" hidden="false" customHeight="false" outlineLevel="0" collapsed="false">
      <c r="A52" s="24" t="s">
        <v>62</v>
      </c>
      <c r="B52" s="24" t="s">
        <v>65</v>
      </c>
      <c r="C52" s="25" t="n">
        <v>46661</v>
      </c>
      <c r="D52" s="24" t="n">
        <v>20</v>
      </c>
      <c r="E52" s="24" t="s">
        <v>77</v>
      </c>
      <c r="F52" s="24"/>
    </row>
    <row r="53" customFormat="false" ht="15" hidden="false" customHeight="false" outlineLevel="0" collapsed="false">
      <c r="A53" s="24" t="s">
        <v>62</v>
      </c>
      <c r="B53" s="24" t="s">
        <v>65</v>
      </c>
      <c r="C53" s="25" t="n">
        <v>46692</v>
      </c>
      <c r="D53" s="24" t="n">
        <v>20</v>
      </c>
      <c r="E53" s="24" t="s">
        <v>77</v>
      </c>
      <c r="F53" s="24"/>
    </row>
    <row r="54" customFormat="false" ht="15" hidden="false" customHeight="false" outlineLevel="0" collapsed="false">
      <c r="A54" s="24" t="s">
        <v>62</v>
      </c>
      <c r="B54" s="24" t="s">
        <v>65</v>
      </c>
      <c r="C54" s="25" t="n">
        <v>46722</v>
      </c>
      <c r="D54" s="24" t="n">
        <v>23</v>
      </c>
      <c r="E54" s="24" t="s">
        <v>77</v>
      </c>
      <c r="F54" s="24"/>
    </row>
    <row r="55" customFormat="false" ht="15" hidden="false" customHeight="false" outlineLevel="0" collapsed="false">
      <c r="A55" s="24" t="s">
        <v>62</v>
      </c>
      <c r="B55" s="24" t="s">
        <v>65</v>
      </c>
      <c r="C55" s="25" t="n">
        <v>46753</v>
      </c>
      <c r="D55" s="24" t="n">
        <v>21</v>
      </c>
      <c r="E55" s="24" t="s">
        <v>77</v>
      </c>
      <c r="F55" s="24"/>
    </row>
    <row r="56" customFormat="false" ht="15" hidden="false" customHeight="false" outlineLevel="0" collapsed="false">
      <c r="A56" s="24" t="s">
        <v>66</v>
      </c>
      <c r="B56" s="24" t="s">
        <v>67</v>
      </c>
      <c r="C56" s="25" t="n">
        <v>46235</v>
      </c>
      <c r="D56" s="24" t="n">
        <v>5</v>
      </c>
      <c r="E56" s="24" t="s">
        <v>76</v>
      </c>
      <c r="F56" s="24"/>
    </row>
    <row r="57" customFormat="false" ht="15" hidden="false" customHeight="false" outlineLevel="0" collapsed="false">
      <c r="A57" s="24" t="s">
        <v>66</v>
      </c>
      <c r="B57" s="24" t="s">
        <v>67</v>
      </c>
      <c r="C57" s="25" t="n">
        <v>46266</v>
      </c>
      <c r="D57" s="24" t="n">
        <v>5</v>
      </c>
      <c r="E57" s="24" t="s">
        <v>76</v>
      </c>
      <c r="F57" s="24"/>
    </row>
    <row r="58" customFormat="false" ht="15" hidden="false" customHeight="false" outlineLevel="0" collapsed="false">
      <c r="A58" s="24" t="s">
        <v>66</v>
      </c>
      <c r="B58" s="24" t="s">
        <v>67</v>
      </c>
      <c r="C58" s="25" t="n">
        <v>46296</v>
      </c>
      <c r="D58" s="24" t="n">
        <v>5</v>
      </c>
      <c r="E58" s="24" t="s">
        <v>76</v>
      </c>
      <c r="F58" s="24"/>
    </row>
    <row r="59" customFormat="false" ht="15" hidden="false" customHeight="false" outlineLevel="0" collapsed="false">
      <c r="A59" s="24" t="s">
        <v>66</v>
      </c>
      <c r="B59" s="24" t="s">
        <v>67</v>
      </c>
      <c r="C59" s="25" t="n">
        <v>46327</v>
      </c>
      <c r="D59" s="24" t="n">
        <v>6</v>
      </c>
      <c r="E59" s="24" t="s">
        <v>77</v>
      </c>
      <c r="F59" s="24"/>
    </row>
    <row r="60" customFormat="false" ht="15" hidden="false" customHeight="false" outlineLevel="0" collapsed="false">
      <c r="A60" s="24" t="s">
        <v>66</v>
      </c>
      <c r="B60" s="24" t="s">
        <v>67</v>
      </c>
      <c r="C60" s="25" t="n">
        <v>46357</v>
      </c>
      <c r="D60" s="24" t="n">
        <v>7</v>
      </c>
      <c r="E60" s="24" t="s">
        <v>77</v>
      </c>
      <c r="F60" s="24"/>
    </row>
    <row r="61" customFormat="false" ht="15" hidden="false" customHeight="false" outlineLevel="0" collapsed="false">
      <c r="A61" s="24" t="s">
        <v>66</v>
      </c>
      <c r="B61" s="24" t="s">
        <v>67</v>
      </c>
      <c r="C61" s="25" t="n">
        <v>46388</v>
      </c>
      <c r="D61" s="24" t="n">
        <v>6</v>
      </c>
      <c r="E61" s="24" t="s">
        <v>77</v>
      </c>
      <c r="F61" s="24"/>
    </row>
    <row r="62" customFormat="false" ht="15" hidden="false" customHeight="false" outlineLevel="0" collapsed="false">
      <c r="A62" s="24" t="s">
        <v>66</v>
      </c>
      <c r="B62" s="24" t="s">
        <v>67</v>
      </c>
      <c r="C62" s="25" t="n">
        <v>46419</v>
      </c>
      <c r="D62" s="24" t="n">
        <v>7</v>
      </c>
      <c r="E62" s="24" t="s">
        <v>77</v>
      </c>
      <c r="F62" s="24"/>
    </row>
    <row r="63" customFormat="false" ht="15" hidden="false" customHeight="false" outlineLevel="0" collapsed="false">
      <c r="A63" s="24" t="s">
        <v>66</v>
      </c>
      <c r="B63" s="24" t="s">
        <v>67</v>
      </c>
      <c r="C63" s="25" t="n">
        <v>46447</v>
      </c>
      <c r="D63" s="24" t="n">
        <v>7</v>
      </c>
      <c r="E63" s="24" t="s">
        <v>77</v>
      </c>
      <c r="F63" s="24"/>
    </row>
    <row r="64" customFormat="false" ht="15" hidden="false" customHeight="false" outlineLevel="0" collapsed="false">
      <c r="A64" s="24" t="s">
        <v>66</v>
      </c>
      <c r="B64" s="24" t="s">
        <v>67</v>
      </c>
      <c r="C64" s="25" t="n">
        <v>46478</v>
      </c>
      <c r="D64" s="24" t="n">
        <v>6</v>
      </c>
      <c r="E64" s="24" t="s">
        <v>77</v>
      </c>
      <c r="F64" s="24"/>
    </row>
    <row r="65" customFormat="false" ht="15" hidden="false" customHeight="false" outlineLevel="0" collapsed="false">
      <c r="A65" s="24" t="s">
        <v>66</v>
      </c>
      <c r="B65" s="24" t="s">
        <v>67</v>
      </c>
      <c r="C65" s="25" t="n">
        <v>46508</v>
      </c>
      <c r="D65" s="24" t="n">
        <v>5</v>
      </c>
      <c r="E65" s="24" t="s">
        <v>77</v>
      </c>
      <c r="F65" s="24"/>
    </row>
    <row r="66" customFormat="false" ht="15" hidden="false" customHeight="false" outlineLevel="0" collapsed="false">
      <c r="A66" s="24" t="s">
        <v>66</v>
      </c>
      <c r="B66" s="24" t="s">
        <v>67</v>
      </c>
      <c r="C66" s="25" t="n">
        <v>46539</v>
      </c>
      <c r="D66" s="24" t="n">
        <v>5</v>
      </c>
      <c r="E66" s="24" t="s">
        <v>77</v>
      </c>
      <c r="F66" s="24"/>
    </row>
    <row r="67" customFormat="false" ht="15" hidden="false" customHeight="false" outlineLevel="0" collapsed="false">
      <c r="A67" s="24" t="s">
        <v>66</v>
      </c>
      <c r="B67" s="24" t="s">
        <v>67</v>
      </c>
      <c r="C67" s="25" t="n">
        <v>46569</v>
      </c>
      <c r="D67" s="24" t="n">
        <v>4</v>
      </c>
      <c r="E67" s="24" t="s">
        <v>77</v>
      </c>
      <c r="F67" s="24"/>
    </row>
    <row r="68" customFormat="false" ht="15" hidden="false" customHeight="false" outlineLevel="0" collapsed="false">
      <c r="A68" s="24" t="s">
        <v>66</v>
      </c>
      <c r="B68" s="24" t="s">
        <v>67</v>
      </c>
      <c r="C68" s="25" t="n">
        <v>46600</v>
      </c>
      <c r="D68" s="24" t="n">
        <v>5</v>
      </c>
      <c r="E68" s="24" t="s">
        <v>77</v>
      </c>
      <c r="F68" s="24"/>
    </row>
    <row r="69" customFormat="false" ht="15" hidden="false" customHeight="false" outlineLevel="0" collapsed="false">
      <c r="A69" s="24" t="s">
        <v>66</v>
      </c>
      <c r="B69" s="24" t="s">
        <v>67</v>
      </c>
      <c r="C69" s="25" t="n">
        <v>46631</v>
      </c>
      <c r="D69" s="24" t="n">
        <v>6</v>
      </c>
      <c r="E69" s="24" t="s">
        <v>77</v>
      </c>
      <c r="F69" s="24"/>
    </row>
    <row r="70" customFormat="false" ht="15" hidden="false" customHeight="false" outlineLevel="0" collapsed="false">
      <c r="A70" s="24" t="s">
        <v>66</v>
      </c>
      <c r="B70" s="24" t="s">
        <v>67</v>
      </c>
      <c r="C70" s="25" t="n">
        <v>46661</v>
      </c>
      <c r="D70" s="24" t="n">
        <v>6</v>
      </c>
      <c r="E70" s="24" t="s">
        <v>77</v>
      </c>
      <c r="F70" s="24"/>
    </row>
    <row r="71" customFormat="false" ht="15" hidden="false" customHeight="false" outlineLevel="0" collapsed="false">
      <c r="A71" s="24" t="s">
        <v>66</v>
      </c>
      <c r="B71" s="24" t="s">
        <v>67</v>
      </c>
      <c r="C71" s="25" t="n">
        <v>46692</v>
      </c>
      <c r="D71" s="24" t="n">
        <v>6</v>
      </c>
      <c r="E71" s="24" t="s">
        <v>77</v>
      </c>
      <c r="F71" s="24"/>
    </row>
    <row r="72" customFormat="false" ht="15" hidden="false" customHeight="false" outlineLevel="0" collapsed="false">
      <c r="A72" s="24" t="s">
        <v>66</v>
      </c>
      <c r="B72" s="24" t="s">
        <v>67</v>
      </c>
      <c r="C72" s="25" t="n">
        <v>46722</v>
      </c>
      <c r="D72" s="24" t="n">
        <v>7</v>
      </c>
      <c r="E72" s="24" t="s">
        <v>77</v>
      </c>
      <c r="F72" s="24"/>
    </row>
    <row r="73" customFormat="false" ht="15" hidden="false" customHeight="false" outlineLevel="0" collapsed="false">
      <c r="A73" s="24" t="s">
        <v>66</v>
      </c>
      <c r="B73" s="24" t="s">
        <v>67</v>
      </c>
      <c r="C73" s="25" t="n">
        <v>46753</v>
      </c>
      <c r="D73" s="24" t="n">
        <v>6</v>
      </c>
      <c r="E73" s="24" t="s">
        <v>77</v>
      </c>
      <c r="F73" s="24"/>
    </row>
    <row r="74" customFormat="false" ht="15" hidden="false" customHeight="false" outlineLevel="0" collapsed="false">
      <c r="A74" s="24" t="s">
        <v>66</v>
      </c>
      <c r="B74" s="24" t="s">
        <v>68</v>
      </c>
      <c r="C74" s="25" t="n">
        <v>46235</v>
      </c>
      <c r="D74" s="24" t="n">
        <v>8</v>
      </c>
      <c r="E74" s="24" t="s">
        <v>76</v>
      </c>
      <c r="F74" s="24"/>
    </row>
    <row r="75" customFormat="false" ht="15" hidden="false" customHeight="false" outlineLevel="0" collapsed="false">
      <c r="A75" s="24" t="s">
        <v>66</v>
      </c>
      <c r="B75" s="24" t="s">
        <v>68</v>
      </c>
      <c r="C75" s="25" t="n">
        <v>46266</v>
      </c>
      <c r="D75" s="24" t="n">
        <v>10</v>
      </c>
      <c r="E75" s="24" t="s">
        <v>76</v>
      </c>
      <c r="F75" s="24"/>
    </row>
    <row r="76" customFormat="false" ht="15" hidden="false" customHeight="false" outlineLevel="0" collapsed="false">
      <c r="A76" s="24" t="s">
        <v>66</v>
      </c>
      <c r="B76" s="24" t="s">
        <v>68</v>
      </c>
      <c r="C76" s="25" t="n">
        <v>46296</v>
      </c>
      <c r="D76" s="24" t="n">
        <v>9</v>
      </c>
      <c r="E76" s="24" t="s">
        <v>76</v>
      </c>
      <c r="F76" s="24"/>
    </row>
    <row r="77" customFormat="false" ht="15" hidden="false" customHeight="false" outlineLevel="0" collapsed="false">
      <c r="A77" s="24" t="s">
        <v>66</v>
      </c>
      <c r="B77" s="24" t="s">
        <v>68</v>
      </c>
      <c r="C77" s="25" t="n">
        <v>46327</v>
      </c>
      <c r="D77" s="24" t="n">
        <v>10</v>
      </c>
      <c r="E77" s="24" t="s">
        <v>77</v>
      </c>
      <c r="F77" s="24"/>
    </row>
    <row r="78" customFormat="false" ht="15" hidden="false" customHeight="false" outlineLevel="0" collapsed="false">
      <c r="A78" s="24" t="s">
        <v>66</v>
      </c>
      <c r="B78" s="24" t="s">
        <v>68</v>
      </c>
      <c r="C78" s="25" t="n">
        <v>46357</v>
      </c>
      <c r="D78" s="24" t="n">
        <v>12</v>
      </c>
      <c r="E78" s="24" t="s">
        <v>77</v>
      </c>
      <c r="F78" s="24"/>
    </row>
    <row r="79" customFormat="false" ht="15" hidden="false" customHeight="false" outlineLevel="0" collapsed="false">
      <c r="A79" s="24" t="s">
        <v>66</v>
      </c>
      <c r="B79" s="24" t="s">
        <v>68</v>
      </c>
      <c r="C79" s="25" t="n">
        <v>46388</v>
      </c>
      <c r="D79" s="24" t="n">
        <v>10</v>
      </c>
      <c r="E79" s="24" t="s">
        <v>77</v>
      </c>
      <c r="F79" s="24"/>
    </row>
    <row r="80" customFormat="false" ht="15" hidden="false" customHeight="false" outlineLevel="0" collapsed="false">
      <c r="A80" s="24" t="s">
        <v>66</v>
      </c>
      <c r="B80" s="24" t="s">
        <v>68</v>
      </c>
      <c r="C80" s="25" t="n">
        <v>46419</v>
      </c>
      <c r="D80" s="24" t="n">
        <v>12</v>
      </c>
      <c r="E80" s="24" t="s">
        <v>77</v>
      </c>
      <c r="F80" s="24"/>
    </row>
    <row r="81" customFormat="false" ht="15" hidden="false" customHeight="false" outlineLevel="0" collapsed="false">
      <c r="A81" s="24" t="s">
        <v>66</v>
      </c>
      <c r="B81" s="24" t="s">
        <v>68</v>
      </c>
      <c r="C81" s="25" t="n">
        <v>46447</v>
      </c>
      <c r="D81" s="24" t="n">
        <v>11</v>
      </c>
      <c r="E81" s="24" t="s">
        <v>77</v>
      </c>
      <c r="F81" s="24"/>
    </row>
    <row r="82" customFormat="false" ht="15" hidden="false" customHeight="false" outlineLevel="0" collapsed="false">
      <c r="A82" s="24" t="s">
        <v>66</v>
      </c>
      <c r="B82" s="24" t="s">
        <v>68</v>
      </c>
      <c r="C82" s="25" t="n">
        <v>46478</v>
      </c>
      <c r="D82" s="24" t="n">
        <v>10</v>
      </c>
      <c r="E82" s="24" t="s">
        <v>77</v>
      </c>
      <c r="F82" s="24"/>
    </row>
    <row r="83" customFormat="false" ht="15" hidden="false" customHeight="false" outlineLevel="0" collapsed="false">
      <c r="A83" s="24" t="s">
        <v>66</v>
      </c>
      <c r="B83" s="24" t="s">
        <v>68</v>
      </c>
      <c r="C83" s="25" t="n">
        <v>46508</v>
      </c>
      <c r="D83" s="24" t="n">
        <v>9</v>
      </c>
      <c r="E83" s="24" t="s">
        <v>77</v>
      </c>
      <c r="F83" s="24"/>
    </row>
    <row r="84" customFormat="false" ht="15" hidden="false" customHeight="false" outlineLevel="0" collapsed="false">
      <c r="A84" s="24" t="s">
        <v>66</v>
      </c>
      <c r="B84" s="24" t="s">
        <v>68</v>
      </c>
      <c r="C84" s="25" t="n">
        <v>46539</v>
      </c>
      <c r="D84" s="24" t="n">
        <v>8</v>
      </c>
      <c r="E84" s="24" t="s">
        <v>77</v>
      </c>
      <c r="F84" s="24"/>
    </row>
    <row r="85" customFormat="false" ht="15" hidden="false" customHeight="false" outlineLevel="0" collapsed="false">
      <c r="A85" s="24" t="s">
        <v>66</v>
      </c>
      <c r="B85" s="24" t="s">
        <v>68</v>
      </c>
      <c r="C85" s="25" t="n">
        <v>46569</v>
      </c>
      <c r="D85" s="24" t="n">
        <v>8</v>
      </c>
      <c r="E85" s="24" t="s">
        <v>77</v>
      </c>
      <c r="F85" s="24"/>
    </row>
    <row r="86" customFormat="false" ht="15" hidden="false" customHeight="false" outlineLevel="0" collapsed="false">
      <c r="A86" s="24" t="s">
        <v>66</v>
      </c>
      <c r="B86" s="24" t="s">
        <v>68</v>
      </c>
      <c r="C86" s="25" t="n">
        <v>46600</v>
      </c>
      <c r="D86" s="24" t="n">
        <v>8</v>
      </c>
      <c r="E86" s="24" t="s">
        <v>77</v>
      </c>
      <c r="F86" s="24"/>
    </row>
    <row r="87" customFormat="false" ht="15" hidden="false" customHeight="false" outlineLevel="0" collapsed="false">
      <c r="A87" s="24" t="s">
        <v>66</v>
      </c>
      <c r="B87" s="24" t="s">
        <v>68</v>
      </c>
      <c r="C87" s="25" t="n">
        <v>46631</v>
      </c>
      <c r="D87" s="24" t="n">
        <v>10</v>
      </c>
      <c r="E87" s="24" t="s">
        <v>77</v>
      </c>
      <c r="F87" s="24"/>
    </row>
    <row r="88" customFormat="false" ht="15" hidden="false" customHeight="false" outlineLevel="0" collapsed="false">
      <c r="A88" s="24" t="s">
        <v>66</v>
      </c>
      <c r="B88" s="24" t="s">
        <v>68</v>
      </c>
      <c r="C88" s="25" t="n">
        <v>46661</v>
      </c>
      <c r="D88" s="24" t="n">
        <v>10</v>
      </c>
      <c r="E88" s="24" t="s">
        <v>77</v>
      </c>
      <c r="F88" s="24"/>
    </row>
    <row r="89" customFormat="false" ht="15" hidden="false" customHeight="false" outlineLevel="0" collapsed="false">
      <c r="A89" s="24" t="s">
        <v>66</v>
      </c>
      <c r="B89" s="24" t="s">
        <v>68</v>
      </c>
      <c r="C89" s="25" t="n">
        <v>46692</v>
      </c>
      <c r="D89" s="24" t="n">
        <v>10</v>
      </c>
      <c r="E89" s="24" t="s">
        <v>77</v>
      </c>
      <c r="F89" s="24"/>
    </row>
    <row r="90" customFormat="false" ht="15" hidden="false" customHeight="false" outlineLevel="0" collapsed="false">
      <c r="A90" s="24" t="s">
        <v>66</v>
      </c>
      <c r="B90" s="24" t="s">
        <v>68</v>
      </c>
      <c r="C90" s="25" t="n">
        <v>46722</v>
      </c>
      <c r="D90" s="24" t="n">
        <v>12</v>
      </c>
      <c r="E90" s="24" t="s">
        <v>77</v>
      </c>
      <c r="F90" s="24"/>
    </row>
    <row r="91" customFormat="false" ht="15" hidden="false" customHeight="false" outlineLevel="0" collapsed="false">
      <c r="A91" s="24" t="s">
        <v>66</v>
      </c>
      <c r="B91" s="24" t="s">
        <v>68</v>
      </c>
      <c r="C91" s="25" t="n">
        <v>46753</v>
      </c>
      <c r="D91" s="24" t="n">
        <v>10</v>
      </c>
      <c r="E91" s="24" t="s">
        <v>77</v>
      </c>
      <c r="F91" s="24"/>
    </row>
    <row r="92" customFormat="false" ht="15" hidden="false" customHeight="false" outlineLevel="0" collapsed="false">
      <c r="A92" s="24" t="s">
        <v>66</v>
      </c>
      <c r="B92" s="24" t="s">
        <v>69</v>
      </c>
      <c r="C92" s="25" t="n">
        <v>46235</v>
      </c>
      <c r="D92" s="24" t="n">
        <v>6</v>
      </c>
      <c r="E92" s="24" t="s">
        <v>76</v>
      </c>
      <c r="F92" s="24"/>
    </row>
    <row r="93" customFormat="false" ht="15" hidden="false" customHeight="false" outlineLevel="0" collapsed="false">
      <c r="A93" s="24" t="s">
        <v>66</v>
      </c>
      <c r="B93" s="24" t="s">
        <v>69</v>
      </c>
      <c r="C93" s="25" t="n">
        <v>46266</v>
      </c>
      <c r="D93" s="24" t="n">
        <v>8</v>
      </c>
      <c r="E93" s="24" t="s">
        <v>76</v>
      </c>
      <c r="F93" s="24"/>
    </row>
    <row r="94" customFormat="false" ht="15" hidden="false" customHeight="false" outlineLevel="0" collapsed="false">
      <c r="A94" s="24" t="s">
        <v>66</v>
      </c>
      <c r="B94" s="24" t="s">
        <v>69</v>
      </c>
      <c r="C94" s="25" t="n">
        <v>46296</v>
      </c>
      <c r="D94" s="24" t="n">
        <v>9</v>
      </c>
      <c r="E94" s="24" t="s">
        <v>76</v>
      </c>
      <c r="F94" s="24"/>
    </row>
    <row r="95" customFormat="false" ht="15" hidden="false" customHeight="false" outlineLevel="0" collapsed="false">
      <c r="A95" s="24" t="s">
        <v>66</v>
      </c>
      <c r="B95" s="24" t="s">
        <v>69</v>
      </c>
      <c r="C95" s="25" t="n">
        <v>46327</v>
      </c>
      <c r="D95" s="24" t="n">
        <v>8</v>
      </c>
      <c r="E95" s="24" t="s">
        <v>77</v>
      </c>
      <c r="F95" s="24"/>
    </row>
    <row r="96" customFormat="false" ht="15" hidden="false" customHeight="false" outlineLevel="0" collapsed="false">
      <c r="A96" s="24" t="s">
        <v>66</v>
      </c>
      <c r="B96" s="24" t="s">
        <v>69</v>
      </c>
      <c r="C96" s="25" t="n">
        <v>46357</v>
      </c>
      <c r="D96" s="24" t="n">
        <v>9</v>
      </c>
      <c r="E96" s="24" t="s">
        <v>77</v>
      </c>
      <c r="F96" s="24"/>
    </row>
    <row r="97" customFormat="false" ht="15" hidden="false" customHeight="false" outlineLevel="0" collapsed="false">
      <c r="A97" s="24" t="s">
        <v>66</v>
      </c>
      <c r="B97" s="24" t="s">
        <v>69</v>
      </c>
      <c r="C97" s="25" t="n">
        <v>46388</v>
      </c>
      <c r="D97" s="24" t="n">
        <v>8</v>
      </c>
      <c r="E97" s="24" t="s">
        <v>77</v>
      </c>
      <c r="F97" s="24"/>
    </row>
    <row r="98" customFormat="false" ht="15" hidden="false" customHeight="false" outlineLevel="0" collapsed="false">
      <c r="A98" s="24" t="s">
        <v>66</v>
      </c>
      <c r="B98" s="24" t="s">
        <v>69</v>
      </c>
      <c r="C98" s="25" t="n">
        <v>46419</v>
      </c>
      <c r="D98" s="24" t="n">
        <v>10</v>
      </c>
      <c r="E98" s="24" t="s">
        <v>77</v>
      </c>
      <c r="F98" s="24"/>
    </row>
    <row r="99" customFormat="false" ht="15" hidden="false" customHeight="false" outlineLevel="0" collapsed="false">
      <c r="A99" s="24" t="s">
        <v>66</v>
      </c>
      <c r="B99" s="24" t="s">
        <v>69</v>
      </c>
      <c r="C99" s="25" t="n">
        <v>46447</v>
      </c>
      <c r="D99" s="24" t="n">
        <v>9</v>
      </c>
      <c r="E99" s="24" t="s">
        <v>77</v>
      </c>
      <c r="F99" s="24"/>
    </row>
    <row r="100" customFormat="false" ht="15" hidden="false" customHeight="false" outlineLevel="0" collapsed="false">
      <c r="A100" s="24" t="s">
        <v>66</v>
      </c>
      <c r="B100" s="24" t="s">
        <v>69</v>
      </c>
      <c r="C100" s="25" t="n">
        <v>46478</v>
      </c>
      <c r="D100" s="24" t="n">
        <v>8</v>
      </c>
      <c r="E100" s="24" t="s">
        <v>77</v>
      </c>
      <c r="F100" s="24"/>
    </row>
    <row r="101" customFormat="false" ht="15" hidden="false" customHeight="false" outlineLevel="0" collapsed="false">
      <c r="A101" s="24" t="s">
        <v>66</v>
      </c>
      <c r="B101" s="24" t="s">
        <v>69</v>
      </c>
      <c r="C101" s="25" t="n">
        <v>46508</v>
      </c>
      <c r="D101" s="24" t="n">
        <v>7</v>
      </c>
      <c r="E101" s="24" t="s">
        <v>77</v>
      </c>
      <c r="F101" s="24"/>
    </row>
    <row r="102" customFormat="false" ht="15" hidden="false" customHeight="false" outlineLevel="0" collapsed="false">
      <c r="A102" s="24" t="s">
        <v>66</v>
      </c>
      <c r="B102" s="24" t="s">
        <v>69</v>
      </c>
      <c r="C102" s="25" t="n">
        <v>46539</v>
      </c>
      <c r="D102" s="24" t="n">
        <v>6</v>
      </c>
      <c r="E102" s="24" t="s">
        <v>77</v>
      </c>
      <c r="F102" s="24"/>
    </row>
    <row r="103" customFormat="false" ht="15" hidden="false" customHeight="false" outlineLevel="0" collapsed="false">
      <c r="A103" s="24" t="s">
        <v>66</v>
      </c>
      <c r="B103" s="24" t="s">
        <v>69</v>
      </c>
      <c r="C103" s="25" t="n">
        <v>46569</v>
      </c>
      <c r="D103" s="24" t="n">
        <v>6</v>
      </c>
      <c r="E103" s="24" t="s">
        <v>77</v>
      </c>
      <c r="F103" s="24"/>
    </row>
    <row r="104" customFormat="false" ht="15" hidden="false" customHeight="false" outlineLevel="0" collapsed="false">
      <c r="A104" s="24" t="s">
        <v>66</v>
      </c>
      <c r="B104" s="24" t="s">
        <v>69</v>
      </c>
      <c r="C104" s="25" t="n">
        <v>46600</v>
      </c>
      <c r="D104" s="24" t="n">
        <v>6</v>
      </c>
      <c r="E104" s="24" t="s">
        <v>77</v>
      </c>
      <c r="F104" s="24"/>
    </row>
    <row r="105" customFormat="false" ht="15" hidden="false" customHeight="false" outlineLevel="0" collapsed="false">
      <c r="A105" s="24" t="s">
        <v>66</v>
      </c>
      <c r="B105" s="24" t="s">
        <v>69</v>
      </c>
      <c r="C105" s="25" t="n">
        <v>46631</v>
      </c>
      <c r="D105" s="24" t="n">
        <v>8</v>
      </c>
      <c r="E105" s="24" t="s">
        <v>77</v>
      </c>
      <c r="F105" s="24"/>
    </row>
    <row r="106" customFormat="false" ht="15" hidden="false" customHeight="false" outlineLevel="0" collapsed="false">
      <c r="A106" s="24" t="s">
        <v>66</v>
      </c>
      <c r="B106" s="24" t="s">
        <v>69</v>
      </c>
      <c r="C106" s="25" t="n">
        <v>46661</v>
      </c>
      <c r="D106" s="24" t="n">
        <v>8</v>
      </c>
      <c r="E106" s="24" t="s">
        <v>77</v>
      </c>
      <c r="F106" s="24"/>
    </row>
    <row r="107" customFormat="false" ht="15" hidden="false" customHeight="false" outlineLevel="0" collapsed="false">
      <c r="A107" s="24" t="s">
        <v>66</v>
      </c>
      <c r="B107" s="24" t="s">
        <v>69</v>
      </c>
      <c r="C107" s="25" t="n">
        <v>46692</v>
      </c>
      <c r="D107" s="24" t="n">
        <v>8</v>
      </c>
      <c r="E107" s="24" t="s">
        <v>77</v>
      </c>
      <c r="F107" s="24"/>
    </row>
    <row r="108" customFormat="false" ht="15" hidden="false" customHeight="false" outlineLevel="0" collapsed="false">
      <c r="A108" s="24" t="s">
        <v>66</v>
      </c>
      <c r="B108" s="24" t="s">
        <v>69</v>
      </c>
      <c r="C108" s="25" t="n">
        <v>46722</v>
      </c>
      <c r="D108" s="24" t="n">
        <v>9</v>
      </c>
      <c r="E108" s="24" t="s">
        <v>77</v>
      </c>
      <c r="F108" s="24"/>
    </row>
    <row r="109" customFormat="false" ht="15" hidden="false" customHeight="false" outlineLevel="0" collapsed="false">
      <c r="A109" s="24" t="s">
        <v>66</v>
      </c>
      <c r="B109" s="24" t="s">
        <v>69</v>
      </c>
      <c r="C109" s="25" t="n">
        <v>46753</v>
      </c>
      <c r="D109" s="24" t="n">
        <v>8</v>
      </c>
      <c r="E109" s="24" t="s">
        <v>77</v>
      </c>
      <c r="F109" s="24"/>
    </row>
    <row r="110" customFormat="false" ht="15" hidden="false" customHeight="false" outlineLevel="0" collapsed="false">
      <c r="A110" s="24" t="s">
        <v>66</v>
      </c>
      <c r="B110" s="24" t="s">
        <v>70</v>
      </c>
      <c r="C110" s="25" t="n">
        <v>46235</v>
      </c>
      <c r="D110" s="24" t="n">
        <v>6</v>
      </c>
      <c r="E110" s="24" t="s">
        <v>76</v>
      </c>
      <c r="F110" s="24"/>
    </row>
    <row r="111" customFormat="false" ht="15" hidden="false" customHeight="false" outlineLevel="0" collapsed="false">
      <c r="A111" s="24" t="s">
        <v>66</v>
      </c>
      <c r="B111" s="24" t="s">
        <v>70</v>
      </c>
      <c r="C111" s="25" t="n">
        <v>46266</v>
      </c>
      <c r="D111" s="24" t="n">
        <v>6</v>
      </c>
      <c r="E111" s="24" t="s">
        <v>76</v>
      </c>
      <c r="F111" s="24"/>
    </row>
    <row r="112" customFormat="false" ht="15" hidden="false" customHeight="false" outlineLevel="0" collapsed="false">
      <c r="A112" s="24" t="s">
        <v>66</v>
      </c>
      <c r="B112" s="24" t="s">
        <v>70</v>
      </c>
      <c r="C112" s="25" t="n">
        <v>46296</v>
      </c>
      <c r="D112" s="24" t="n">
        <v>8</v>
      </c>
      <c r="E112" s="24" t="s">
        <v>76</v>
      </c>
      <c r="F112" s="24"/>
    </row>
    <row r="113" customFormat="false" ht="15" hidden="false" customHeight="false" outlineLevel="0" collapsed="false">
      <c r="A113" s="24" t="s">
        <v>66</v>
      </c>
      <c r="B113" s="24" t="s">
        <v>70</v>
      </c>
      <c r="C113" s="25" t="n">
        <v>46327</v>
      </c>
      <c r="D113" s="24" t="n">
        <v>7</v>
      </c>
      <c r="E113" s="24" t="s">
        <v>77</v>
      </c>
      <c r="F113" s="24"/>
    </row>
    <row r="114" customFormat="false" ht="15" hidden="false" customHeight="false" outlineLevel="0" collapsed="false">
      <c r="A114" s="24" t="s">
        <v>66</v>
      </c>
      <c r="B114" s="24" t="s">
        <v>70</v>
      </c>
      <c r="C114" s="25" t="n">
        <v>46357</v>
      </c>
      <c r="D114" s="24" t="n">
        <v>8</v>
      </c>
      <c r="E114" s="24" t="s">
        <v>77</v>
      </c>
      <c r="F114" s="24"/>
    </row>
    <row r="115" customFormat="false" ht="15" hidden="false" customHeight="false" outlineLevel="0" collapsed="false">
      <c r="A115" s="24" t="s">
        <v>66</v>
      </c>
      <c r="B115" s="24" t="s">
        <v>70</v>
      </c>
      <c r="C115" s="25" t="n">
        <v>46388</v>
      </c>
      <c r="D115" s="24" t="n">
        <v>7</v>
      </c>
      <c r="E115" s="24" t="s">
        <v>77</v>
      </c>
      <c r="F115" s="24"/>
    </row>
    <row r="116" customFormat="false" ht="15" hidden="false" customHeight="false" outlineLevel="0" collapsed="false">
      <c r="A116" s="24" t="s">
        <v>66</v>
      </c>
      <c r="B116" s="24" t="s">
        <v>70</v>
      </c>
      <c r="C116" s="25" t="n">
        <v>46419</v>
      </c>
      <c r="D116" s="24" t="n">
        <v>8</v>
      </c>
      <c r="E116" s="24" t="s">
        <v>77</v>
      </c>
      <c r="F116" s="24"/>
    </row>
    <row r="117" customFormat="false" ht="15" hidden="false" customHeight="false" outlineLevel="0" collapsed="false">
      <c r="A117" s="24" t="s">
        <v>66</v>
      </c>
      <c r="B117" s="24" t="s">
        <v>70</v>
      </c>
      <c r="C117" s="25" t="n">
        <v>46447</v>
      </c>
      <c r="D117" s="24" t="n">
        <v>8</v>
      </c>
      <c r="E117" s="24" t="s">
        <v>77</v>
      </c>
      <c r="F117" s="24"/>
    </row>
    <row r="118" customFormat="false" ht="15" hidden="false" customHeight="false" outlineLevel="0" collapsed="false">
      <c r="A118" s="24" t="s">
        <v>66</v>
      </c>
      <c r="B118" s="24" t="s">
        <v>70</v>
      </c>
      <c r="C118" s="25" t="n">
        <v>46478</v>
      </c>
      <c r="D118" s="24" t="n">
        <v>7</v>
      </c>
      <c r="E118" s="24" t="s">
        <v>77</v>
      </c>
      <c r="F118" s="24"/>
    </row>
    <row r="119" customFormat="false" ht="15" hidden="false" customHeight="false" outlineLevel="0" collapsed="false">
      <c r="A119" s="24" t="s">
        <v>66</v>
      </c>
      <c r="B119" s="24" t="s">
        <v>70</v>
      </c>
      <c r="C119" s="25" t="n">
        <v>46508</v>
      </c>
      <c r="D119" s="24" t="n">
        <v>6</v>
      </c>
      <c r="E119" s="24" t="s">
        <v>77</v>
      </c>
      <c r="F119" s="24"/>
    </row>
    <row r="120" customFormat="false" ht="15" hidden="false" customHeight="false" outlineLevel="0" collapsed="false">
      <c r="A120" s="24" t="s">
        <v>66</v>
      </c>
      <c r="B120" s="24" t="s">
        <v>70</v>
      </c>
      <c r="C120" s="25" t="n">
        <v>46539</v>
      </c>
      <c r="D120" s="24" t="n">
        <v>6</v>
      </c>
      <c r="E120" s="24" t="s">
        <v>77</v>
      </c>
      <c r="F120" s="24"/>
    </row>
    <row r="121" customFormat="false" ht="15" hidden="false" customHeight="false" outlineLevel="0" collapsed="false">
      <c r="A121" s="24" t="s">
        <v>66</v>
      </c>
      <c r="B121" s="24" t="s">
        <v>70</v>
      </c>
      <c r="C121" s="25" t="n">
        <v>46569</v>
      </c>
      <c r="D121" s="24" t="n">
        <v>5</v>
      </c>
      <c r="E121" s="24" t="s">
        <v>77</v>
      </c>
      <c r="F121" s="24"/>
    </row>
    <row r="122" customFormat="false" ht="15" hidden="false" customHeight="false" outlineLevel="0" collapsed="false">
      <c r="A122" s="24" t="s">
        <v>66</v>
      </c>
      <c r="B122" s="24" t="s">
        <v>70</v>
      </c>
      <c r="C122" s="25" t="n">
        <v>46600</v>
      </c>
      <c r="D122" s="24" t="n">
        <v>6</v>
      </c>
      <c r="E122" s="24" t="s">
        <v>77</v>
      </c>
      <c r="F122" s="24"/>
    </row>
    <row r="123" customFormat="false" ht="15" hidden="false" customHeight="false" outlineLevel="0" collapsed="false">
      <c r="A123" s="24" t="s">
        <v>66</v>
      </c>
      <c r="B123" s="24" t="s">
        <v>70</v>
      </c>
      <c r="C123" s="25" t="n">
        <v>46631</v>
      </c>
      <c r="D123" s="24" t="n">
        <v>7</v>
      </c>
      <c r="E123" s="24" t="s">
        <v>77</v>
      </c>
      <c r="F123" s="24"/>
    </row>
    <row r="124" customFormat="false" ht="15" hidden="false" customHeight="false" outlineLevel="0" collapsed="false">
      <c r="A124" s="24" t="s">
        <v>66</v>
      </c>
      <c r="B124" s="24" t="s">
        <v>70</v>
      </c>
      <c r="C124" s="25" t="n">
        <v>46661</v>
      </c>
      <c r="D124" s="24" t="n">
        <v>7</v>
      </c>
      <c r="E124" s="24" t="s">
        <v>77</v>
      </c>
      <c r="F124" s="24"/>
    </row>
    <row r="125" customFormat="false" ht="15" hidden="false" customHeight="false" outlineLevel="0" collapsed="false">
      <c r="A125" s="24" t="s">
        <v>66</v>
      </c>
      <c r="B125" s="24" t="s">
        <v>70</v>
      </c>
      <c r="C125" s="25" t="n">
        <v>46692</v>
      </c>
      <c r="D125" s="24" t="n">
        <v>7</v>
      </c>
      <c r="E125" s="24" t="s">
        <v>77</v>
      </c>
      <c r="F125" s="24"/>
    </row>
    <row r="126" customFormat="false" ht="15" hidden="false" customHeight="false" outlineLevel="0" collapsed="false">
      <c r="A126" s="24" t="s">
        <v>66</v>
      </c>
      <c r="B126" s="24" t="s">
        <v>70</v>
      </c>
      <c r="C126" s="25" t="n">
        <v>46722</v>
      </c>
      <c r="D126" s="24" t="n">
        <v>8</v>
      </c>
      <c r="E126" s="24" t="s">
        <v>77</v>
      </c>
      <c r="F126" s="24"/>
    </row>
    <row r="127" customFormat="false" ht="15" hidden="false" customHeight="false" outlineLevel="0" collapsed="false">
      <c r="A127" s="24" t="s">
        <v>66</v>
      </c>
      <c r="B127" s="24" t="s">
        <v>70</v>
      </c>
      <c r="C127" s="25" t="n">
        <v>46753</v>
      </c>
      <c r="D127" s="24" t="n">
        <v>7</v>
      </c>
      <c r="E127" s="24" t="s">
        <v>77</v>
      </c>
      <c r="F127" s="24"/>
    </row>
    <row r="128" customFormat="false" ht="15" hidden="false" customHeight="false" outlineLevel="0" collapsed="false">
      <c r="A128" s="24" t="s">
        <v>66</v>
      </c>
      <c r="B128" s="24" t="s">
        <v>71</v>
      </c>
      <c r="C128" s="25" t="n">
        <v>46235</v>
      </c>
      <c r="D128" s="24" t="n">
        <v>3</v>
      </c>
      <c r="E128" s="24" t="s">
        <v>76</v>
      </c>
      <c r="F128" s="24"/>
    </row>
    <row r="129" customFormat="false" ht="15" hidden="false" customHeight="false" outlineLevel="0" collapsed="false">
      <c r="A129" s="24" t="s">
        <v>66</v>
      </c>
      <c r="B129" s="24" t="s">
        <v>71</v>
      </c>
      <c r="C129" s="25" t="n">
        <v>46266</v>
      </c>
      <c r="D129" s="24" t="n">
        <v>4</v>
      </c>
      <c r="E129" s="24" t="s">
        <v>76</v>
      </c>
      <c r="F129" s="24"/>
    </row>
    <row r="130" customFormat="false" ht="15" hidden="false" customHeight="false" outlineLevel="0" collapsed="false">
      <c r="A130" s="24" t="s">
        <v>66</v>
      </c>
      <c r="B130" s="24" t="s">
        <v>71</v>
      </c>
      <c r="C130" s="25" t="n">
        <v>46296</v>
      </c>
      <c r="D130" s="24" t="n">
        <v>4</v>
      </c>
      <c r="E130" s="24" t="s">
        <v>76</v>
      </c>
      <c r="F130" s="24"/>
    </row>
    <row r="131" customFormat="false" ht="15" hidden="false" customHeight="false" outlineLevel="0" collapsed="false">
      <c r="A131" s="24" t="s">
        <v>66</v>
      </c>
      <c r="B131" s="24" t="s">
        <v>71</v>
      </c>
      <c r="C131" s="25" t="n">
        <v>46327</v>
      </c>
      <c r="D131" s="24" t="n">
        <v>4</v>
      </c>
      <c r="E131" s="24" t="s">
        <v>77</v>
      </c>
      <c r="F131" s="24"/>
    </row>
    <row r="132" customFormat="false" ht="15" hidden="false" customHeight="false" outlineLevel="0" collapsed="false">
      <c r="A132" s="24" t="s">
        <v>66</v>
      </c>
      <c r="B132" s="24" t="s">
        <v>71</v>
      </c>
      <c r="C132" s="25" t="n">
        <v>46357</v>
      </c>
      <c r="D132" s="24" t="n">
        <v>5</v>
      </c>
      <c r="E132" s="24" t="s">
        <v>77</v>
      </c>
      <c r="F132" s="24"/>
    </row>
    <row r="133" customFormat="false" ht="15" hidden="false" customHeight="false" outlineLevel="0" collapsed="false">
      <c r="A133" s="24" t="s">
        <v>66</v>
      </c>
      <c r="B133" s="24" t="s">
        <v>71</v>
      </c>
      <c r="C133" s="25" t="n">
        <v>46388</v>
      </c>
      <c r="D133" s="24" t="n">
        <v>4</v>
      </c>
      <c r="E133" s="24" t="s">
        <v>77</v>
      </c>
      <c r="F133" s="24"/>
    </row>
    <row r="134" customFormat="false" ht="15" hidden="false" customHeight="false" outlineLevel="0" collapsed="false">
      <c r="A134" s="24" t="s">
        <v>66</v>
      </c>
      <c r="B134" s="24" t="s">
        <v>71</v>
      </c>
      <c r="C134" s="25" t="n">
        <v>46419</v>
      </c>
      <c r="D134" s="24" t="n">
        <v>5</v>
      </c>
      <c r="E134" s="24" t="s">
        <v>77</v>
      </c>
      <c r="F134" s="24"/>
    </row>
    <row r="135" customFormat="false" ht="15" hidden="false" customHeight="false" outlineLevel="0" collapsed="false">
      <c r="A135" s="24" t="s">
        <v>66</v>
      </c>
      <c r="B135" s="24" t="s">
        <v>71</v>
      </c>
      <c r="C135" s="25" t="n">
        <v>46447</v>
      </c>
      <c r="D135" s="24" t="n">
        <v>4</v>
      </c>
      <c r="E135" s="24" t="s">
        <v>77</v>
      </c>
      <c r="F135" s="24"/>
    </row>
    <row r="136" customFormat="false" ht="15" hidden="false" customHeight="false" outlineLevel="0" collapsed="false">
      <c r="A136" s="24" t="s">
        <v>66</v>
      </c>
      <c r="B136" s="24" t="s">
        <v>71</v>
      </c>
      <c r="C136" s="25" t="n">
        <v>46478</v>
      </c>
      <c r="D136" s="24" t="n">
        <v>4</v>
      </c>
      <c r="E136" s="24" t="s">
        <v>77</v>
      </c>
      <c r="F136" s="24"/>
    </row>
    <row r="137" customFormat="false" ht="15" hidden="false" customHeight="false" outlineLevel="0" collapsed="false">
      <c r="A137" s="24" t="s">
        <v>66</v>
      </c>
      <c r="B137" s="24" t="s">
        <v>71</v>
      </c>
      <c r="C137" s="25" t="n">
        <v>46508</v>
      </c>
      <c r="D137" s="24" t="n">
        <v>4</v>
      </c>
      <c r="E137" s="24" t="s">
        <v>77</v>
      </c>
      <c r="F137" s="24"/>
    </row>
    <row r="138" customFormat="false" ht="15" hidden="false" customHeight="false" outlineLevel="0" collapsed="false">
      <c r="A138" s="24" t="s">
        <v>66</v>
      </c>
      <c r="B138" s="24" t="s">
        <v>71</v>
      </c>
      <c r="C138" s="25" t="n">
        <v>46539</v>
      </c>
      <c r="D138" s="24" t="n">
        <v>3</v>
      </c>
      <c r="E138" s="24" t="s">
        <v>77</v>
      </c>
      <c r="F138" s="24"/>
    </row>
    <row r="139" customFormat="false" ht="15" hidden="false" customHeight="false" outlineLevel="0" collapsed="false">
      <c r="A139" s="24" t="s">
        <v>66</v>
      </c>
      <c r="B139" s="24" t="s">
        <v>71</v>
      </c>
      <c r="C139" s="25" t="n">
        <v>46569</v>
      </c>
      <c r="D139" s="24" t="n">
        <v>3</v>
      </c>
      <c r="E139" s="24" t="s">
        <v>77</v>
      </c>
      <c r="F139" s="24"/>
    </row>
    <row r="140" customFormat="false" ht="15" hidden="false" customHeight="false" outlineLevel="0" collapsed="false">
      <c r="A140" s="24" t="s">
        <v>66</v>
      </c>
      <c r="B140" s="24" t="s">
        <v>71</v>
      </c>
      <c r="C140" s="25" t="n">
        <v>46600</v>
      </c>
      <c r="D140" s="24" t="n">
        <v>3</v>
      </c>
      <c r="E140" s="24" t="s">
        <v>77</v>
      </c>
      <c r="F140" s="24"/>
    </row>
    <row r="141" customFormat="false" ht="15" hidden="false" customHeight="false" outlineLevel="0" collapsed="false">
      <c r="A141" s="24" t="s">
        <v>66</v>
      </c>
      <c r="B141" s="24" t="s">
        <v>71</v>
      </c>
      <c r="C141" s="25" t="n">
        <v>46631</v>
      </c>
      <c r="D141" s="24" t="n">
        <v>4</v>
      </c>
      <c r="E141" s="24" t="s">
        <v>77</v>
      </c>
      <c r="F141" s="24"/>
    </row>
    <row r="142" customFormat="false" ht="15" hidden="false" customHeight="false" outlineLevel="0" collapsed="false">
      <c r="A142" s="24" t="s">
        <v>66</v>
      </c>
      <c r="B142" s="24" t="s">
        <v>71</v>
      </c>
      <c r="C142" s="25" t="n">
        <v>46661</v>
      </c>
      <c r="D142" s="24" t="n">
        <v>4</v>
      </c>
      <c r="E142" s="24" t="s">
        <v>77</v>
      </c>
      <c r="F142" s="24"/>
    </row>
    <row r="143" customFormat="false" ht="15" hidden="false" customHeight="false" outlineLevel="0" collapsed="false">
      <c r="A143" s="24" t="s">
        <v>66</v>
      </c>
      <c r="B143" s="24" t="s">
        <v>71</v>
      </c>
      <c r="C143" s="25" t="n">
        <v>46692</v>
      </c>
      <c r="D143" s="24" t="n">
        <v>4</v>
      </c>
      <c r="E143" s="24" t="s">
        <v>77</v>
      </c>
      <c r="F143" s="24"/>
    </row>
    <row r="144" customFormat="false" ht="15" hidden="false" customHeight="false" outlineLevel="0" collapsed="false">
      <c r="A144" s="24" t="s">
        <v>66</v>
      </c>
      <c r="B144" s="24" t="s">
        <v>71</v>
      </c>
      <c r="C144" s="25" t="n">
        <v>46722</v>
      </c>
      <c r="D144" s="24" t="n">
        <v>5</v>
      </c>
      <c r="E144" s="24" t="s">
        <v>77</v>
      </c>
      <c r="F144" s="24"/>
    </row>
    <row r="145" customFormat="false" ht="15" hidden="false" customHeight="false" outlineLevel="0" collapsed="false">
      <c r="A145" s="24" t="s">
        <v>66</v>
      </c>
      <c r="B145" s="24" t="s">
        <v>71</v>
      </c>
      <c r="C145" s="25" t="n">
        <v>46753</v>
      </c>
      <c r="D145" s="24" t="n">
        <v>4</v>
      </c>
      <c r="E145" s="24" t="s">
        <v>77</v>
      </c>
      <c r="F145" s="24"/>
    </row>
  </sheetData>
  <dataValidations count="1">
    <dataValidation allowBlank="false" errorStyle="stop" operator="between" showDropDown="false" showErrorMessage="false" showInputMessage="false" sqref="E2:E145" type="list">
      <formula1>"Actual,Forecast"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32"/>
  </cols>
  <sheetData>
    <row r="1" customFormat="false" ht="15" hidden="false" customHeight="false" outlineLevel="0" collapsed="false">
      <c r="A1" s="23" t="s">
        <v>79</v>
      </c>
      <c r="B1" s="23" t="s">
        <v>41</v>
      </c>
      <c r="C1" s="23" t="s">
        <v>42</v>
      </c>
      <c r="D1" s="23" t="s">
        <v>80</v>
      </c>
      <c r="E1" s="23" t="s">
        <v>73</v>
      </c>
      <c r="F1" s="23" t="s">
        <v>81</v>
      </c>
      <c r="G1" s="23" t="s">
        <v>82</v>
      </c>
      <c r="H1" s="23" t="s">
        <v>83</v>
      </c>
      <c r="I1" s="23" t="s">
        <v>75</v>
      </c>
    </row>
    <row r="2" customFormat="false" ht="15" hidden="false" customHeight="false" outlineLevel="0" collapsed="false">
      <c r="A2" s="24" t="s">
        <v>84</v>
      </c>
      <c r="B2" s="24" t="s">
        <v>62</v>
      </c>
      <c r="C2" s="24" t="s">
        <v>63</v>
      </c>
      <c r="D2" s="25" t="n">
        <v>46235</v>
      </c>
      <c r="E2" s="24" t="n">
        <v>25</v>
      </c>
      <c r="F2" s="26" t="n">
        <f aca="false">EDATE(D2,INDEX(Settings!$D$2:$D$9,MATCH(C2,Settings!$B$2:$B$9,0)))</f>
        <v>46327</v>
      </c>
      <c r="G2" s="25"/>
      <c r="H2" s="26" t="n">
        <f aca="false">IF(G2="",F2,G2)</f>
        <v>46327</v>
      </c>
      <c r="I2" s="24"/>
    </row>
    <row r="3" customFormat="false" ht="15" hidden="false" customHeight="false" outlineLevel="0" collapsed="false">
      <c r="A3" s="24" t="s">
        <v>85</v>
      </c>
      <c r="B3" s="24" t="s">
        <v>62</v>
      </c>
      <c r="C3" s="24" t="s">
        <v>63</v>
      </c>
      <c r="D3" s="25" t="n">
        <v>46266</v>
      </c>
      <c r="E3" s="24" t="n">
        <v>29</v>
      </c>
      <c r="F3" s="26" t="n">
        <f aca="false">EDATE(D3,INDEX(Settings!$D$2:$D$9,MATCH(C3,Settings!$B$2:$B$9,0)))</f>
        <v>46357</v>
      </c>
      <c r="G3" s="25"/>
      <c r="H3" s="26" t="n">
        <f aca="false">IF(G3="",F3,G3)</f>
        <v>46357</v>
      </c>
      <c r="I3" s="24"/>
    </row>
    <row r="4" customFormat="false" ht="15" hidden="false" customHeight="false" outlineLevel="0" collapsed="false">
      <c r="A4" s="24" t="s">
        <v>86</v>
      </c>
      <c r="B4" s="24" t="s">
        <v>62</v>
      </c>
      <c r="C4" s="24" t="s">
        <v>63</v>
      </c>
      <c r="D4" s="25" t="n">
        <v>46296</v>
      </c>
      <c r="E4" s="24" t="n">
        <v>26</v>
      </c>
      <c r="F4" s="26" t="n">
        <f aca="false">EDATE(D4,INDEX(Settings!$D$2:$D$9,MATCH(C4,Settings!$B$2:$B$9,0)))</f>
        <v>46388</v>
      </c>
      <c r="G4" s="25"/>
      <c r="H4" s="26" t="n">
        <f aca="false">IF(G4="",F4,G4)</f>
        <v>46388</v>
      </c>
      <c r="I4" s="24"/>
    </row>
    <row r="5" customFormat="false" ht="15" hidden="false" customHeight="false" outlineLevel="0" collapsed="false">
      <c r="A5" s="24" t="s">
        <v>87</v>
      </c>
      <c r="B5" s="24" t="s">
        <v>62</v>
      </c>
      <c r="C5" s="24" t="s">
        <v>64</v>
      </c>
      <c r="D5" s="25" t="n">
        <v>46235</v>
      </c>
      <c r="E5" s="24" t="n">
        <v>35</v>
      </c>
      <c r="F5" s="26" t="n">
        <f aca="false">EDATE(D5,INDEX(Settings!$D$2:$D$9,MATCH(C5,Settings!$B$2:$B$9,0)))</f>
        <v>46327</v>
      </c>
      <c r="G5" s="25"/>
      <c r="H5" s="26" t="n">
        <f aca="false">IF(G5="",F5,G5)</f>
        <v>46327</v>
      </c>
      <c r="I5" s="24"/>
    </row>
    <row r="6" customFormat="false" ht="15" hidden="false" customHeight="false" outlineLevel="0" collapsed="false">
      <c r="A6" s="24" t="s">
        <v>88</v>
      </c>
      <c r="B6" s="24" t="s">
        <v>62</v>
      </c>
      <c r="C6" s="24" t="s">
        <v>64</v>
      </c>
      <c r="D6" s="25" t="n">
        <v>46266</v>
      </c>
      <c r="E6" s="24" t="n">
        <v>40</v>
      </c>
      <c r="F6" s="26" t="n">
        <f aca="false">EDATE(D6,INDEX(Settings!$D$2:$D$9,MATCH(C6,Settings!$B$2:$B$9,0)))</f>
        <v>46357</v>
      </c>
      <c r="G6" s="25"/>
      <c r="H6" s="26" t="n">
        <f aca="false">IF(G6="",F6,G6)</f>
        <v>46357</v>
      </c>
      <c r="I6" s="24"/>
    </row>
    <row r="7" customFormat="false" ht="15" hidden="false" customHeight="false" outlineLevel="0" collapsed="false">
      <c r="A7" s="24" t="s">
        <v>89</v>
      </c>
      <c r="B7" s="24" t="s">
        <v>62</v>
      </c>
      <c r="C7" s="24" t="s">
        <v>64</v>
      </c>
      <c r="D7" s="25" t="n">
        <v>46296</v>
      </c>
      <c r="E7" s="24" t="n">
        <v>37</v>
      </c>
      <c r="F7" s="26" t="n">
        <f aca="false">EDATE(D7,INDEX(Settings!$D$2:$D$9,MATCH(C7,Settings!$B$2:$B$9,0)))</f>
        <v>46388</v>
      </c>
      <c r="G7" s="25" t="n">
        <v>46357</v>
      </c>
      <c r="H7" s="26" t="n">
        <f aca="false">IF(G7="",F7,G7)</f>
        <v>46357</v>
      </c>
      <c r="I7" s="24" t="s">
        <v>90</v>
      </c>
    </row>
    <row r="8" customFormat="false" ht="15" hidden="false" customHeight="false" outlineLevel="0" collapsed="false">
      <c r="A8" s="24" t="s">
        <v>91</v>
      </c>
      <c r="B8" s="24" t="s">
        <v>62</v>
      </c>
      <c r="C8" s="24" t="s">
        <v>65</v>
      </c>
      <c r="D8" s="25" t="n">
        <v>46235</v>
      </c>
      <c r="E8" s="24" t="n">
        <v>20</v>
      </c>
      <c r="F8" s="26" t="n">
        <f aca="false">EDATE(D8,INDEX(Settings!$D$2:$D$9,MATCH(C8,Settings!$B$2:$B$9,0)))</f>
        <v>46327</v>
      </c>
      <c r="G8" s="25"/>
      <c r="H8" s="26" t="n">
        <f aca="false">IF(G8="",F8,G8)</f>
        <v>46327</v>
      </c>
      <c r="I8" s="24"/>
    </row>
    <row r="9" customFormat="false" ht="15" hidden="false" customHeight="false" outlineLevel="0" collapsed="false">
      <c r="A9" s="24" t="s">
        <v>92</v>
      </c>
      <c r="B9" s="24" t="s">
        <v>62</v>
      </c>
      <c r="C9" s="24" t="s">
        <v>65</v>
      </c>
      <c r="D9" s="25" t="n">
        <v>46266</v>
      </c>
      <c r="E9" s="24" t="n">
        <v>23</v>
      </c>
      <c r="F9" s="26" t="n">
        <f aca="false">EDATE(D9,INDEX(Settings!$D$2:$D$9,MATCH(C9,Settings!$B$2:$B$9,0)))</f>
        <v>46357</v>
      </c>
      <c r="G9" s="25"/>
      <c r="H9" s="26" t="n">
        <f aca="false">IF(G9="",F9,G9)</f>
        <v>46357</v>
      </c>
      <c r="I9" s="24"/>
    </row>
    <row r="10" customFormat="false" ht="15" hidden="false" customHeight="false" outlineLevel="0" collapsed="false">
      <c r="A10" s="24" t="s">
        <v>93</v>
      </c>
      <c r="B10" s="24" t="s">
        <v>62</v>
      </c>
      <c r="C10" s="24" t="s">
        <v>65</v>
      </c>
      <c r="D10" s="25" t="n">
        <v>46296</v>
      </c>
      <c r="E10" s="24" t="n">
        <v>21</v>
      </c>
      <c r="F10" s="26" t="n">
        <f aca="false">EDATE(D10,INDEX(Settings!$D$2:$D$9,MATCH(C10,Settings!$B$2:$B$9,0)))</f>
        <v>46388</v>
      </c>
      <c r="G10" s="25"/>
      <c r="H10" s="26" t="n">
        <f aca="false">IF(G10="",F10,G10)</f>
        <v>46388</v>
      </c>
      <c r="I10" s="24"/>
    </row>
    <row r="11" customFormat="false" ht="15" hidden="false" customHeight="false" outlineLevel="0" collapsed="false">
      <c r="A11" s="24" t="s">
        <v>94</v>
      </c>
      <c r="B11" s="24" t="s">
        <v>66</v>
      </c>
      <c r="C11" s="24" t="s">
        <v>67</v>
      </c>
      <c r="D11" s="25" t="n">
        <v>46235</v>
      </c>
      <c r="E11" s="24" t="n">
        <v>6</v>
      </c>
      <c r="F11" s="26" t="n">
        <f aca="false">EDATE(D11,INDEX(Settings!$D$2:$D$9,MATCH(C11,Settings!$B$2:$B$9,0)))</f>
        <v>46327</v>
      </c>
      <c r="G11" s="25"/>
      <c r="H11" s="26" t="n">
        <f aca="false">IF(G11="",F11,G11)</f>
        <v>46327</v>
      </c>
      <c r="I11" s="24"/>
    </row>
    <row r="12" customFormat="false" ht="15" hidden="false" customHeight="false" outlineLevel="0" collapsed="false">
      <c r="A12" s="24" t="s">
        <v>95</v>
      </c>
      <c r="B12" s="24" t="s">
        <v>66</v>
      </c>
      <c r="C12" s="24" t="s">
        <v>67</v>
      </c>
      <c r="D12" s="25" t="n">
        <v>46266</v>
      </c>
      <c r="E12" s="24" t="n">
        <v>7</v>
      </c>
      <c r="F12" s="26" t="n">
        <f aca="false">EDATE(D12,INDEX(Settings!$D$2:$D$9,MATCH(C12,Settings!$B$2:$B$9,0)))</f>
        <v>46357</v>
      </c>
      <c r="G12" s="25"/>
      <c r="H12" s="26" t="n">
        <f aca="false">IF(G12="",F12,G12)</f>
        <v>46357</v>
      </c>
      <c r="I12" s="24"/>
    </row>
    <row r="13" customFormat="false" ht="15" hidden="false" customHeight="false" outlineLevel="0" collapsed="false">
      <c r="A13" s="24" t="s">
        <v>96</v>
      </c>
      <c r="B13" s="24" t="s">
        <v>66</v>
      </c>
      <c r="C13" s="24" t="s">
        <v>67</v>
      </c>
      <c r="D13" s="25" t="n">
        <v>46296</v>
      </c>
      <c r="E13" s="24" t="n">
        <v>6</v>
      </c>
      <c r="F13" s="26" t="n">
        <f aca="false">EDATE(D13,INDEX(Settings!$D$2:$D$9,MATCH(C13,Settings!$B$2:$B$9,0)))</f>
        <v>46388</v>
      </c>
      <c r="G13" s="25"/>
      <c r="H13" s="26" t="n">
        <f aca="false">IF(G13="",F13,G13)</f>
        <v>46388</v>
      </c>
      <c r="I13" s="24"/>
    </row>
    <row r="14" customFormat="false" ht="15" hidden="false" customHeight="false" outlineLevel="0" collapsed="false">
      <c r="A14" s="24" t="s">
        <v>97</v>
      </c>
      <c r="B14" s="24" t="s">
        <v>66</v>
      </c>
      <c r="C14" s="24" t="s">
        <v>68</v>
      </c>
      <c r="D14" s="25" t="n">
        <v>46235</v>
      </c>
      <c r="E14" s="24" t="n">
        <v>10</v>
      </c>
      <c r="F14" s="26" t="n">
        <f aca="false">EDATE(D14,INDEX(Settings!$D$2:$D$9,MATCH(C14,Settings!$B$2:$B$9,0)))</f>
        <v>46327</v>
      </c>
      <c r="G14" s="25"/>
      <c r="H14" s="26" t="n">
        <f aca="false">IF(G14="",F14,G14)</f>
        <v>46327</v>
      </c>
      <c r="I14" s="24"/>
    </row>
    <row r="15" customFormat="false" ht="15" hidden="false" customHeight="false" outlineLevel="0" collapsed="false">
      <c r="A15" s="24" t="s">
        <v>98</v>
      </c>
      <c r="B15" s="24" t="s">
        <v>66</v>
      </c>
      <c r="C15" s="24" t="s">
        <v>68</v>
      </c>
      <c r="D15" s="25" t="n">
        <v>46266</v>
      </c>
      <c r="E15" s="24" t="n">
        <v>12</v>
      </c>
      <c r="F15" s="26" t="n">
        <f aca="false">EDATE(D15,INDEX(Settings!$D$2:$D$9,MATCH(C15,Settings!$B$2:$B$9,0)))</f>
        <v>46357</v>
      </c>
      <c r="G15" s="25"/>
      <c r="H15" s="26" t="n">
        <f aca="false">IF(G15="",F15,G15)</f>
        <v>46357</v>
      </c>
      <c r="I15" s="24"/>
    </row>
    <row r="16" customFormat="false" ht="15" hidden="false" customHeight="false" outlineLevel="0" collapsed="false">
      <c r="A16" s="24" t="s">
        <v>99</v>
      </c>
      <c r="B16" s="24" t="s">
        <v>66</v>
      </c>
      <c r="C16" s="24" t="s">
        <v>68</v>
      </c>
      <c r="D16" s="25" t="n">
        <v>46296</v>
      </c>
      <c r="E16" s="24" t="n">
        <v>10</v>
      </c>
      <c r="F16" s="26" t="n">
        <f aca="false">EDATE(D16,INDEX(Settings!$D$2:$D$9,MATCH(C16,Settings!$B$2:$B$9,0)))</f>
        <v>46388</v>
      </c>
      <c r="G16" s="25"/>
      <c r="H16" s="26" t="n">
        <f aca="false">IF(G16="",F16,G16)</f>
        <v>46388</v>
      </c>
      <c r="I16" s="24"/>
    </row>
    <row r="17" customFormat="false" ht="15" hidden="false" customHeight="false" outlineLevel="0" collapsed="false">
      <c r="A17" s="24" t="s">
        <v>100</v>
      </c>
      <c r="B17" s="24" t="s">
        <v>66</v>
      </c>
      <c r="C17" s="24" t="s">
        <v>69</v>
      </c>
      <c r="D17" s="25" t="n">
        <v>46235</v>
      </c>
      <c r="E17" s="24" t="n">
        <v>8</v>
      </c>
      <c r="F17" s="26" t="n">
        <f aca="false">EDATE(D17,INDEX(Settings!$D$2:$D$9,MATCH(C17,Settings!$B$2:$B$9,0)))</f>
        <v>46327</v>
      </c>
      <c r="G17" s="25"/>
      <c r="H17" s="26" t="n">
        <f aca="false">IF(G17="",F17,G17)</f>
        <v>46327</v>
      </c>
      <c r="I17" s="24"/>
    </row>
    <row r="18" customFormat="false" ht="15" hidden="false" customHeight="false" outlineLevel="0" collapsed="false">
      <c r="A18" s="24" t="s">
        <v>101</v>
      </c>
      <c r="B18" s="24" t="s">
        <v>66</v>
      </c>
      <c r="C18" s="24" t="s">
        <v>69</v>
      </c>
      <c r="D18" s="25" t="n">
        <v>46266</v>
      </c>
      <c r="E18" s="24" t="n">
        <v>9</v>
      </c>
      <c r="F18" s="26" t="n">
        <f aca="false">EDATE(D18,INDEX(Settings!$D$2:$D$9,MATCH(C18,Settings!$B$2:$B$9,0)))</f>
        <v>46357</v>
      </c>
      <c r="G18" s="25"/>
      <c r="H18" s="26" t="n">
        <f aca="false">IF(G18="",F18,G18)</f>
        <v>46357</v>
      </c>
      <c r="I18" s="24"/>
    </row>
    <row r="19" customFormat="false" ht="15" hidden="false" customHeight="false" outlineLevel="0" collapsed="false">
      <c r="A19" s="24" t="s">
        <v>102</v>
      </c>
      <c r="B19" s="24" t="s">
        <v>66</v>
      </c>
      <c r="C19" s="24" t="s">
        <v>69</v>
      </c>
      <c r="D19" s="25" t="n">
        <v>46296</v>
      </c>
      <c r="E19" s="24" t="n">
        <v>8</v>
      </c>
      <c r="F19" s="26" t="n">
        <f aca="false">EDATE(D19,INDEX(Settings!$D$2:$D$9,MATCH(C19,Settings!$B$2:$B$9,0)))</f>
        <v>46388</v>
      </c>
      <c r="G19" s="25"/>
      <c r="H19" s="26" t="n">
        <f aca="false">IF(G19="",F19,G19)</f>
        <v>46388</v>
      </c>
      <c r="I19" s="24"/>
    </row>
    <row r="20" customFormat="false" ht="15" hidden="false" customHeight="false" outlineLevel="0" collapsed="false">
      <c r="A20" s="24" t="s">
        <v>103</v>
      </c>
      <c r="B20" s="24" t="s">
        <v>66</v>
      </c>
      <c r="C20" s="24" t="s">
        <v>70</v>
      </c>
      <c r="D20" s="25" t="n">
        <v>46235</v>
      </c>
      <c r="E20" s="24" t="n">
        <v>10</v>
      </c>
      <c r="F20" s="26" t="n">
        <f aca="false">EDATE(D20,INDEX(Settings!$D$2:$D$9,MATCH(C20,Settings!$B$2:$B$9,0)))</f>
        <v>46327</v>
      </c>
      <c r="G20" s="25" t="n">
        <v>46327</v>
      </c>
      <c r="H20" s="26" t="n">
        <f aca="false">IF(G20="",F20,G20)</f>
        <v>46327</v>
      </c>
      <c r="I20" s="24" t="s">
        <v>104</v>
      </c>
    </row>
    <row r="21" customFormat="false" ht="15" hidden="false" customHeight="false" outlineLevel="0" collapsed="false">
      <c r="A21" s="24" t="s">
        <v>103</v>
      </c>
      <c r="B21" s="24" t="s">
        <v>66</v>
      </c>
      <c r="C21" s="24" t="s">
        <v>70</v>
      </c>
      <c r="D21" s="25" t="n">
        <v>46235</v>
      </c>
      <c r="E21" s="24" t="n">
        <v>5</v>
      </c>
      <c r="F21" s="26" t="n">
        <f aca="false">EDATE(D21,INDEX(Settings!$D$2:$D$9,MATCH(C21,Settings!$B$2:$B$9,0)))</f>
        <v>46327</v>
      </c>
      <c r="G21" s="25" t="n">
        <v>46388</v>
      </c>
      <c r="H21" s="26" t="n">
        <f aca="false">IF(G21="",F21,G21)</f>
        <v>46388</v>
      </c>
      <c r="I21" s="24" t="s">
        <v>105</v>
      </c>
    </row>
    <row r="22" customFormat="false" ht="15" hidden="false" customHeight="false" outlineLevel="0" collapsed="false">
      <c r="A22" s="24" t="s">
        <v>106</v>
      </c>
      <c r="B22" s="24" t="s">
        <v>66</v>
      </c>
      <c r="C22" s="24" t="s">
        <v>70</v>
      </c>
      <c r="D22" s="25" t="n">
        <v>46266</v>
      </c>
      <c r="E22" s="24" t="n">
        <v>8</v>
      </c>
      <c r="F22" s="26" t="n">
        <f aca="false">EDATE(D22,INDEX(Settings!$D$2:$D$9,MATCH(C22,Settings!$B$2:$B$9,0)))</f>
        <v>46357</v>
      </c>
      <c r="G22" s="25"/>
      <c r="H22" s="26" t="n">
        <f aca="false">IF(G22="",F22,G22)</f>
        <v>46357</v>
      </c>
      <c r="I22" s="24"/>
    </row>
    <row r="23" customFormat="false" ht="15" hidden="false" customHeight="false" outlineLevel="0" collapsed="false">
      <c r="A23" s="24" t="s">
        <v>107</v>
      </c>
      <c r="B23" s="24" t="s">
        <v>66</v>
      </c>
      <c r="C23" s="24" t="s">
        <v>70</v>
      </c>
      <c r="D23" s="25" t="n">
        <v>46296</v>
      </c>
      <c r="E23" s="24" t="n">
        <v>7</v>
      </c>
      <c r="F23" s="26" t="n">
        <f aca="false">EDATE(D23,INDEX(Settings!$D$2:$D$9,MATCH(C23,Settings!$B$2:$B$9,0)))</f>
        <v>46388</v>
      </c>
      <c r="G23" s="25"/>
      <c r="H23" s="26" t="n">
        <f aca="false">IF(G23="",F23,G23)</f>
        <v>46388</v>
      </c>
      <c r="I23" s="24"/>
    </row>
    <row r="24" customFormat="false" ht="15" hidden="false" customHeight="false" outlineLevel="0" collapsed="false">
      <c r="A24" s="24" t="s">
        <v>108</v>
      </c>
      <c r="B24" s="24" t="s">
        <v>66</v>
      </c>
      <c r="C24" s="24" t="s">
        <v>71</v>
      </c>
      <c r="D24" s="25" t="n">
        <v>46235</v>
      </c>
      <c r="E24" s="24" t="n">
        <v>4</v>
      </c>
      <c r="F24" s="26" t="n">
        <f aca="false">EDATE(D24,INDEX(Settings!$D$2:$D$9,MATCH(C24,Settings!$B$2:$B$9,0)))</f>
        <v>46327</v>
      </c>
      <c r="G24" s="25"/>
      <c r="H24" s="26" t="n">
        <f aca="false">IF(G24="",F24,G24)</f>
        <v>46327</v>
      </c>
      <c r="I24" s="24"/>
    </row>
    <row r="25" customFormat="false" ht="15" hidden="false" customHeight="false" outlineLevel="0" collapsed="false">
      <c r="A25" s="24" t="s">
        <v>109</v>
      </c>
      <c r="B25" s="24" t="s">
        <v>66</v>
      </c>
      <c r="C25" s="24" t="s">
        <v>71</v>
      </c>
      <c r="D25" s="25" t="n">
        <v>46266</v>
      </c>
      <c r="E25" s="24" t="n">
        <v>5</v>
      </c>
      <c r="F25" s="26" t="n">
        <f aca="false">EDATE(D25,INDEX(Settings!$D$2:$D$9,MATCH(C25,Settings!$B$2:$B$9,0)))</f>
        <v>46357</v>
      </c>
      <c r="G25" s="25" t="n">
        <v>46447</v>
      </c>
      <c r="H25" s="26" t="n">
        <f aca="false">IF(G25="",F25,G25)</f>
        <v>46447</v>
      </c>
      <c r="I25" s="24" t="s">
        <v>110</v>
      </c>
    </row>
    <row r="26" customFormat="false" ht="15" hidden="false" customHeight="false" outlineLevel="0" collapsed="false">
      <c r="A26" s="24" t="s">
        <v>111</v>
      </c>
      <c r="B26" s="24" t="s">
        <v>66</v>
      </c>
      <c r="C26" s="24" t="s">
        <v>71</v>
      </c>
      <c r="D26" s="25" t="n">
        <v>46296</v>
      </c>
      <c r="E26" s="24" t="n">
        <v>4</v>
      </c>
      <c r="F26" s="26" t="n">
        <f aca="false">EDATE(D26,INDEX(Settings!$D$2:$D$9,MATCH(C26,Settings!$B$2:$B$9,0)))</f>
        <v>46388</v>
      </c>
      <c r="G26" s="25"/>
      <c r="H26" s="26" t="n">
        <f aca="false">IF(G26="",F26,G26)</f>
        <v>46388</v>
      </c>
      <c r="I26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Q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16"/>
    <col collapsed="false" customWidth="true" hidden="false" outlineLevel="0" max="2" min="2" style="0" width="34"/>
    <col collapsed="false" customWidth="true" hidden="false" outlineLevel="0" max="17" min="3" style="0" width="9"/>
  </cols>
  <sheetData>
    <row r="1" customFormat="false" ht="17.35" hidden="false" customHeight="false" outlineLevel="0" collapsed="false">
      <c r="B1" s="1" t="s">
        <v>112</v>
      </c>
    </row>
    <row r="2" customFormat="false" ht="15" hidden="false" customHeight="false" outlineLevel="0" collapsed="false">
      <c r="B2" s="5" t="s">
        <v>113</v>
      </c>
      <c r="C2" s="26" t="n">
        <f aca="false">MIN('Opening Stock'!$C$2:$C$1000)</f>
        <v>46327</v>
      </c>
      <c r="O2" s="27" t="s">
        <v>114</v>
      </c>
    </row>
    <row r="3" customFormat="false" ht="15" hidden="false" customHeight="false" outlineLevel="0" collapsed="false">
      <c r="B3" s="16" t="s">
        <v>51</v>
      </c>
      <c r="C3" s="16" t="n">
        <v>1</v>
      </c>
      <c r="D3" s="16" t="n">
        <v>2</v>
      </c>
      <c r="E3" s="16" t="n">
        <v>3</v>
      </c>
      <c r="F3" s="16" t="n">
        <v>4</v>
      </c>
      <c r="G3" s="16" t="n">
        <v>5</v>
      </c>
      <c r="H3" s="16" t="n">
        <v>6</v>
      </c>
      <c r="I3" s="16" t="n">
        <v>7</v>
      </c>
      <c r="J3" s="16" t="n">
        <v>8</v>
      </c>
      <c r="K3" s="16" t="n">
        <v>9</v>
      </c>
      <c r="L3" s="16" t="n">
        <v>10</v>
      </c>
      <c r="M3" s="16" t="n">
        <v>11</v>
      </c>
      <c r="N3" s="16" t="n">
        <v>12</v>
      </c>
      <c r="O3" s="16" t="n">
        <v>13</v>
      </c>
      <c r="P3" s="16" t="n">
        <v>14</v>
      </c>
      <c r="Q3" s="16" t="n">
        <v>15</v>
      </c>
    </row>
    <row r="4" customFormat="false" ht="15" hidden="false" customHeight="false" outlineLevel="0" collapsed="false">
      <c r="B4" s="5" t="s">
        <v>52</v>
      </c>
      <c r="C4" s="7" t="n">
        <f aca="false">EDATE($C$2,0)</f>
        <v>46327</v>
      </c>
      <c r="D4" s="7" t="n">
        <f aca="false">EDATE($C$2,1)</f>
        <v>46357</v>
      </c>
      <c r="E4" s="7" t="n">
        <f aca="false">EDATE($C$2,2)</f>
        <v>46388</v>
      </c>
      <c r="F4" s="7" t="n">
        <f aca="false">EDATE($C$2,3)</f>
        <v>46419</v>
      </c>
      <c r="G4" s="7" t="n">
        <f aca="false">EDATE($C$2,4)</f>
        <v>46447</v>
      </c>
      <c r="H4" s="7" t="n">
        <f aca="false">EDATE($C$2,5)</f>
        <v>46478</v>
      </c>
      <c r="I4" s="7" t="n">
        <f aca="false">EDATE($C$2,6)</f>
        <v>46508</v>
      </c>
      <c r="J4" s="7" t="n">
        <f aca="false">EDATE($C$2,7)</f>
        <v>46539</v>
      </c>
      <c r="K4" s="7" t="n">
        <f aca="false">EDATE($C$2,8)</f>
        <v>46569</v>
      </c>
      <c r="L4" s="7" t="n">
        <f aca="false">EDATE($C$2,9)</f>
        <v>46600</v>
      </c>
      <c r="M4" s="7" t="n">
        <f aca="false">EDATE($C$2,10)</f>
        <v>46631</v>
      </c>
      <c r="N4" s="7" t="n">
        <f aca="false">EDATE($C$2,11)</f>
        <v>46661</v>
      </c>
      <c r="O4" s="28" t="n">
        <f aca="false">EDATE($C$2,12)</f>
        <v>46692</v>
      </c>
      <c r="P4" s="28" t="n">
        <f aca="false">EDATE($C$2,13)</f>
        <v>46722</v>
      </c>
      <c r="Q4" s="28" t="n">
        <f aca="false">EDATE($C$2,14)</f>
        <v>46753</v>
      </c>
    </row>
    <row r="6" customFormat="false" ht="15" hidden="false" customHeight="false" outlineLevel="0" collapsed="false">
      <c r="A6" s="17" t="str">
        <f aca="false">INDEX(Settings!$B$2:$B$100,1)</f>
        <v>Ambiente</v>
      </c>
      <c r="B6" s="17" t="str">
        <f aca="false">INDEX(Settings!$A$2:$A$100,1)&amp;" - "&amp;A6</f>
        <v>Territory - Ambiente</v>
      </c>
      <c r="C6" s="17" t="s">
        <v>43</v>
      </c>
      <c r="D6" s="17" t="n">
        <f aca="false">INDEX(Settings!$C$2:$C$100,MATCH($A6,Settings!$B$2:$B$100,0))</f>
        <v>3</v>
      </c>
      <c r="E6" s="17" t="s">
        <v>115</v>
      </c>
      <c r="F6" s="17" t="n">
        <f aca="false">INDEX(Settings!$D$2:$D$100,MATCH($A6,Settings!$B$2:$B$100,0))</f>
        <v>3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customFormat="false" ht="15" hidden="false" customHeight="false" outlineLevel="0" collapsed="false">
      <c r="A7" s="16" t="str">
        <f aca="false">$A$6</f>
        <v>Ambiente</v>
      </c>
      <c r="B7" s="8" t="s">
        <v>116</v>
      </c>
      <c r="C7" s="30" t="n">
        <f aca="false">SUMIFS('Opening Stock'!$D$2:$D$1000,'Opening Stock'!$B$2:$B$1000,$A6)</f>
        <v>80</v>
      </c>
      <c r="D7" s="30" t="n">
        <f aca="false">C11</f>
        <v>80</v>
      </c>
      <c r="E7" s="30" t="n">
        <f aca="false">D11</f>
        <v>80</v>
      </c>
      <c r="F7" s="30" t="n">
        <f aca="false">E11</f>
        <v>80</v>
      </c>
      <c r="G7" s="30" t="n">
        <f aca="false">F11</f>
        <v>74</v>
      </c>
      <c r="H7" s="30" t="n">
        <f aca="false">G11</f>
        <v>66</v>
      </c>
      <c r="I7" s="30" t="n">
        <f aca="false">H11</f>
        <v>61</v>
      </c>
      <c r="J7" s="30" t="n">
        <f aca="false">I11</f>
        <v>59</v>
      </c>
      <c r="K7" s="30" t="n">
        <f aca="false">J11</f>
        <v>63</v>
      </c>
      <c r="L7" s="30" t="n">
        <f aca="false">K11</f>
        <v>69</v>
      </c>
      <c r="M7" s="30" t="n">
        <f aca="false">L11</f>
        <v>74</v>
      </c>
      <c r="N7" s="30" t="n">
        <f aca="false">M11</f>
        <v>79</v>
      </c>
    </row>
    <row r="8" customFormat="false" ht="15" hidden="false" customHeight="false" outlineLevel="0" collapsed="false">
      <c r="A8" s="16" t="str">
        <f aca="false">$A$6</f>
        <v>Ambiente</v>
      </c>
      <c r="B8" s="8" t="s">
        <v>117</v>
      </c>
      <c r="C8" s="30" t="n">
        <f aca="false">SUMIFS(Orders!$E$2:$E$2000,Orders!$C$2:$C$2000,$A6,Orders!$H$2:$H$2000,C$4)</f>
        <v>25</v>
      </c>
      <c r="D8" s="30" t="n">
        <f aca="false">SUMIFS(Orders!$E$2:$E$2000,Orders!$C$2:$C$2000,$A6,Orders!$H$2:$H$2000,D$4)</f>
        <v>29</v>
      </c>
      <c r="E8" s="30" t="n">
        <f aca="false">SUMIFS(Orders!$E$2:$E$2000,Orders!$C$2:$C$2000,$A6,Orders!$H$2:$H$2000,E$4)</f>
        <v>26</v>
      </c>
      <c r="F8" s="30" t="n">
        <f aca="false">SUMIFS(Orders!$E$2:$E$2000,Orders!$C$2:$C$2000,$A6,Orders!$H$2:$H$2000,F$4)</f>
        <v>0</v>
      </c>
      <c r="G8" s="30" t="n">
        <f aca="false">SUMIFS(Orders!$E$2:$E$2000,Orders!$C$2:$C$2000,$A6,Orders!$H$2:$H$2000,G$4)</f>
        <v>0</v>
      </c>
      <c r="H8" s="30" t="n">
        <f aca="false">SUMIFS(Orders!$E$2:$E$2000,Orders!$C$2:$C$2000,$A6,Orders!$H$2:$H$2000,H$4)</f>
        <v>0</v>
      </c>
      <c r="I8" s="30" t="n">
        <f aca="false">SUMIFS(Orders!$E$2:$E$2000,Orders!$C$2:$C$2000,$A6,Orders!$H$2:$H$2000,I$4)</f>
        <v>0</v>
      </c>
      <c r="J8" s="30" t="n">
        <f aca="false">SUMIFS(Orders!$E$2:$E$2000,Orders!$C$2:$C$2000,$A6,Orders!$H$2:$H$2000,J$4)</f>
        <v>0</v>
      </c>
      <c r="K8" s="30" t="n">
        <f aca="false">SUMIFS(Orders!$E$2:$E$2000,Orders!$C$2:$C$2000,$A6,Orders!$H$2:$H$2000,K$4)</f>
        <v>0</v>
      </c>
      <c r="L8" s="30" t="n">
        <f aca="false">SUMIFS(Orders!$E$2:$E$2000,Orders!$C$2:$C$2000,$A6,Orders!$H$2:$H$2000,L$4)</f>
        <v>0</v>
      </c>
      <c r="M8" s="30" t="n">
        <f aca="false">SUMIFS(Orders!$E$2:$E$2000,Orders!$C$2:$C$2000,$A6,Orders!$H$2:$H$2000,M$4)</f>
        <v>0</v>
      </c>
      <c r="N8" s="30" t="n">
        <f aca="false">SUMIFS(Orders!$E$2:$E$2000,Orders!$C$2:$C$2000,$A6,Orders!$H$2:$H$2000,N$4)</f>
        <v>0</v>
      </c>
    </row>
    <row r="9" customFormat="false" ht="15" hidden="false" customHeight="false" outlineLevel="0" collapsed="false">
      <c r="A9" s="16" t="str">
        <f aca="false">$A$6</f>
        <v>Ambiente</v>
      </c>
      <c r="B9" s="8" t="s">
        <v>118</v>
      </c>
      <c r="C9" s="31" t="n">
        <f aca="false">IF(C$3&lt;=$F$6,0,MAX(0,ROUNDUP(C13-(C7+C8-C10),0)))</f>
        <v>0</v>
      </c>
      <c r="D9" s="31" t="n">
        <f aca="false">IF(D$3&lt;=$F$6,0,MAX(0,ROUNDUP(D13-(D7+D8-D10),0)))</f>
        <v>0</v>
      </c>
      <c r="E9" s="31" t="n">
        <f aca="false">IF(E$3&lt;=$F$6,0,MAX(0,ROUNDUP(E13-(E7+E8-E10),0)))</f>
        <v>0</v>
      </c>
      <c r="F9" s="30" t="n">
        <f aca="false">IF(F$3&lt;=$F$6,0,MAX(0,ROUNDUP(F13-(F7+F8-F10),0)))</f>
        <v>24</v>
      </c>
      <c r="G9" s="30" t="n">
        <f aca="false">IF(G$3&lt;=$F$6,0,MAX(0,ROUNDUP(G13-(G7+G8-G10),0)))</f>
        <v>20</v>
      </c>
      <c r="H9" s="30" t="n">
        <f aca="false">IF(H$3&lt;=$F$6,0,MAX(0,ROUNDUP(H13-(H7+H8-H10),0)))</f>
        <v>19</v>
      </c>
      <c r="I9" s="30" t="n">
        <f aca="false">IF(I$3&lt;=$F$6,0,MAX(0,ROUNDUP(I13-(I7+I8-I10),0)))</f>
        <v>20</v>
      </c>
      <c r="J9" s="30" t="n">
        <f aca="false">IF(J$3&lt;=$F$6,0,MAX(0,ROUNDUP(J13-(J7+J8-J10),0)))</f>
        <v>24</v>
      </c>
      <c r="K9" s="30" t="n">
        <f aca="false">IF(K$3&lt;=$F$6,0,MAX(0,ROUNDUP(K13-(K7+K8-K10),0)))</f>
        <v>25</v>
      </c>
      <c r="L9" s="30" t="n">
        <f aca="false">IF(L$3&lt;=$F$6,0,MAX(0,ROUNDUP(L13-(L7+L8-L10),0)))</f>
        <v>25</v>
      </c>
      <c r="M9" s="30" t="n">
        <f aca="false">IF(M$3&lt;=$F$6,0,MAX(0,ROUNDUP(M13-(M7+M8-M10),0)))</f>
        <v>29</v>
      </c>
      <c r="N9" s="30" t="n">
        <f aca="false">IF(N$3&lt;=$F$6,0,MAX(0,ROUNDUP(N13-(N7+N8-N10),0)))</f>
        <v>26</v>
      </c>
    </row>
    <row r="10" customFormat="false" ht="15" hidden="false" customHeight="false" outlineLevel="0" collapsed="false">
      <c r="A10" s="16" t="str">
        <f aca="false">$A$6</f>
        <v>Ambiente</v>
      </c>
      <c r="B10" s="8" t="s">
        <v>119</v>
      </c>
      <c r="C10" s="30" t="n">
        <f aca="false">IF(COUNTIFS(Sales!$B$2:$B$2000,$A6,Sales!$C$2:$C$2000,C$4,Sales!$E$2:$E$2000,"Actual")&gt;0,SUMIFS(Sales!$D$2:$D$2000,Sales!$B$2:$B$2000,$A6,Sales!$C$2:$C$2000,C$4,Sales!$E$2:$E$2000,"Actual"),SUMIFS(Sales!$D$2:$D$2000,Sales!$B$2:$B$2000,$A6,Sales!$C$2:$C$2000,C$4,Sales!$E$2:$E$2000,"Forecast"))</f>
        <v>25</v>
      </c>
      <c r="D10" s="30" t="n">
        <f aca="false">IF(COUNTIFS(Sales!$B$2:$B$2000,$A6,Sales!$C$2:$C$2000,D$4,Sales!$E$2:$E$2000,"Actual")&gt;0,SUMIFS(Sales!$D$2:$D$2000,Sales!$B$2:$B$2000,$A6,Sales!$C$2:$C$2000,D$4,Sales!$E$2:$E$2000,"Actual"),SUMIFS(Sales!$D$2:$D$2000,Sales!$B$2:$B$2000,$A6,Sales!$C$2:$C$2000,D$4,Sales!$E$2:$E$2000,"Forecast"))</f>
        <v>29</v>
      </c>
      <c r="E10" s="30" t="n">
        <f aca="false">IF(COUNTIFS(Sales!$B$2:$B$2000,$A6,Sales!$C$2:$C$2000,E$4,Sales!$E$2:$E$2000,"Actual")&gt;0,SUMIFS(Sales!$D$2:$D$2000,Sales!$B$2:$B$2000,$A6,Sales!$C$2:$C$2000,E$4,Sales!$E$2:$E$2000,"Actual"),SUMIFS(Sales!$D$2:$D$2000,Sales!$B$2:$B$2000,$A6,Sales!$C$2:$C$2000,E$4,Sales!$E$2:$E$2000,"Forecast"))</f>
        <v>26</v>
      </c>
      <c r="F10" s="30" t="n">
        <f aca="false">IF(COUNTIFS(Sales!$B$2:$B$2000,$A6,Sales!$C$2:$C$2000,F$4,Sales!$E$2:$E$2000,"Actual")&gt;0,SUMIFS(Sales!$D$2:$D$2000,Sales!$B$2:$B$2000,$A6,Sales!$C$2:$C$2000,F$4,Sales!$E$2:$E$2000,"Actual"),SUMIFS(Sales!$D$2:$D$2000,Sales!$B$2:$B$2000,$A6,Sales!$C$2:$C$2000,F$4,Sales!$E$2:$E$2000,"Forecast"))</f>
        <v>30</v>
      </c>
      <c r="G10" s="30" t="n">
        <f aca="false">IF(COUNTIFS(Sales!$B$2:$B$2000,$A6,Sales!$C$2:$C$2000,G$4,Sales!$E$2:$E$2000,"Actual")&gt;0,SUMIFS(Sales!$D$2:$D$2000,Sales!$B$2:$B$2000,$A6,Sales!$C$2:$C$2000,G$4,Sales!$E$2:$E$2000,"Actual"),SUMIFS(Sales!$D$2:$D$2000,Sales!$B$2:$B$2000,$A6,Sales!$C$2:$C$2000,G$4,Sales!$E$2:$E$2000,"Forecast"))</f>
        <v>28</v>
      </c>
      <c r="H10" s="30" t="n">
        <f aca="false">IF(COUNTIFS(Sales!$B$2:$B$2000,$A6,Sales!$C$2:$C$2000,H$4,Sales!$E$2:$E$2000,"Actual")&gt;0,SUMIFS(Sales!$D$2:$D$2000,Sales!$B$2:$B$2000,$A6,Sales!$C$2:$C$2000,H$4,Sales!$E$2:$E$2000,"Actual"),SUMIFS(Sales!$D$2:$D$2000,Sales!$B$2:$B$2000,$A6,Sales!$C$2:$C$2000,H$4,Sales!$E$2:$E$2000,"Forecast"))</f>
        <v>24</v>
      </c>
      <c r="I10" s="30" t="n">
        <f aca="false">IF(COUNTIFS(Sales!$B$2:$B$2000,$A6,Sales!$C$2:$C$2000,I$4,Sales!$E$2:$E$2000,"Actual")&gt;0,SUMIFS(Sales!$D$2:$D$2000,Sales!$B$2:$B$2000,$A6,Sales!$C$2:$C$2000,I$4,Sales!$E$2:$E$2000,"Actual"),SUMIFS(Sales!$D$2:$D$2000,Sales!$B$2:$B$2000,$A6,Sales!$C$2:$C$2000,I$4,Sales!$E$2:$E$2000,"Forecast"))</f>
        <v>22</v>
      </c>
      <c r="J10" s="30" t="n">
        <f aca="false">IF(COUNTIFS(Sales!$B$2:$B$2000,$A6,Sales!$C$2:$C$2000,J$4,Sales!$E$2:$E$2000,"Actual")&gt;0,SUMIFS(Sales!$D$2:$D$2000,Sales!$B$2:$B$2000,$A6,Sales!$C$2:$C$2000,J$4,Sales!$E$2:$E$2000,"Actual"),SUMIFS(Sales!$D$2:$D$2000,Sales!$B$2:$B$2000,$A6,Sales!$C$2:$C$2000,J$4,Sales!$E$2:$E$2000,"Forecast"))</f>
        <v>20</v>
      </c>
      <c r="K10" s="30" t="n">
        <f aca="false">IF(COUNTIFS(Sales!$B$2:$B$2000,$A6,Sales!$C$2:$C$2000,K$4,Sales!$E$2:$E$2000,"Actual")&gt;0,SUMIFS(Sales!$D$2:$D$2000,Sales!$B$2:$B$2000,$A6,Sales!$C$2:$C$2000,K$4,Sales!$E$2:$E$2000,"Actual"),SUMIFS(Sales!$D$2:$D$2000,Sales!$B$2:$B$2000,$A6,Sales!$C$2:$C$2000,K$4,Sales!$E$2:$E$2000,"Forecast"))</f>
        <v>19</v>
      </c>
      <c r="L10" s="30" t="n">
        <f aca="false">IF(COUNTIFS(Sales!$B$2:$B$2000,$A6,Sales!$C$2:$C$2000,L$4,Sales!$E$2:$E$2000,"Actual")&gt;0,SUMIFS(Sales!$D$2:$D$2000,Sales!$B$2:$B$2000,$A6,Sales!$C$2:$C$2000,L$4,Sales!$E$2:$E$2000,"Actual"),SUMIFS(Sales!$D$2:$D$2000,Sales!$B$2:$B$2000,$A6,Sales!$C$2:$C$2000,L$4,Sales!$E$2:$E$2000,"Forecast"))</f>
        <v>20</v>
      </c>
      <c r="M10" s="30" t="n">
        <f aca="false">IF(COUNTIFS(Sales!$B$2:$B$2000,$A6,Sales!$C$2:$C$2000,M$4,Sales!$E$2:$E$2000,"Actual")&gt;0,SUMIFS(Sales!$D$2:$D$2000,Sales!$B$2:$B$2000,$A6,Sales!$C$2:$C$2000,M$4,Sales!$E$2:$E$2000,"Actual"),SUMIFS(Sales!$D$2:$D$2000,Sales!$B$2:$B$2000,$A6,Sales!$C$2:$C$2000,M$4,Sales!$E$2:$E$2000,"Forecast"))</f>
        <v>24</v>
      </c>
      <c r="N10" s="30" t="n">
        <f aca="false">IF(COUNTIFS(Sales!$B$2:$B$2000,$A6,Sales!$C$2:$C$2000,N$4,Sales!$E$2:$E$2000,"Actual")&gt;0,SUMIFS(Sales!$D$2:$D$2000,Sales!$B$2:$B$2000,$A6,Sales!$C$2:$C$2000,N$4,Sales!$E$2:$E$2000,"Actual"),SUMIFS(Sales!$D$2:$D$2000,Sales!$B$2:$B$2000,$A6,Sales!$C$2:$C$2000,N$4,Sales!$E$2:$E$2000,"Forecast"))</f>
        <v>25</v>
      </c>
      <c r="O10" s="32" t="n">
        <f aca="false">IF(COUNTIFS(Sales!$B$2:$B$2000,$A6,Sales!$C$2:$C$2000,O$4,Sales!$E$2:$E$2000,"Actual")&gt;0,SUMIFS(Sales!$D$2:$D$2000,Sales!$B$2:$B$2000,$A6,Sales!$C$2:$C$2000,O$4,Sales!$E$2:$E$2000,"Actual"),SUMIFS(Sales!$D$2:$D$2000,Sales!$B$2:$B$2000,$A6,Sales!$C$2:$C$2000,O$4,Sales!$E$2:$E$2000,"Forecast"))</f>
        <v>25</v>
      </c>
      <c r="P10" s="32" t="n">
        <f aca="false">IF(COUNTIFS(Sales!$B$2:$B$2000,$A6,Sales!$C$2:$C$2000,P$4,Sales!$E$2:$E$2000,"Actual")&gt;0,SUMIFS(Sales!$D$2:$D$2000,Sales!$B$2:$B$2000,$A6,Sales!$C$2:$C$2000,P$4,Sales!$E$2:$E$2000,"Actual"),SUMIFS(Sales!$D$2:$D$2000,Sales!$B$2:$B$2000,$A6,Sales!$C$2:$C$2000,P$4,Sales!$E$2:$E$2000,"Forecast"))</f>
        <v>29</v>
      </c>
      <c r="Q10" s="32" t="n">
        <f aca="false">IF(COUNTIFS(Sales!$B$2:$B$2000,$A6,Sales!$C$2:$C$2000,Q$4,Sales!$E$2:$E$2000,"Actual")&gt;0,SUMIFS(Sales!$D$2:$D$2000,Sales!$B$2:$B$2000,$A6,Sales!$C$2:$C$2000,Q$4,Sales!$E$2:$E$2000,"Actual"),SUMIFS(Sales!$D$2:$D$2000,Sales!$B$2:$B$2000,$A6,Sales!$C$2:$C$2000,Q$4,Sales!$E$2:$E$2000,"Forecast"))</f>
        <v>26</v>
      </c>
    </row>
    <row r="11" customFormat="false" ht="15" hidden="false" customHeight="false" outlineLevel="0" collapsed="false">
      <c r="A11" s="16" t="str">
        <f aca="false">$A$6</f>
        <v>Ambiente</v>
      </c>
      <c r="B11" s="5" t="s">
        <v>58</v>
      </c>
      <c r="C11" s="33" t="n">
        <f aca="false">C7+C8+C9-C10</f>
        <v>80</v>
      </c>
      <c r="D11" s="33" t="n">
        <f aca="false">D7+D8+D9-D10</f>
        <v>80</v>
      </c>
      <c r="E11" s="33" t="n">
        <f aca="false">E7+E8+E9-E10</f>
        <v>80</v>
      </c>
      <c r="F11" s="33" t="n">
        <f aca="false">F7+F8+F9-F10</f>
        <v>74</v>
      </c>
      <c r="G11" s="33" t="n">
        <f aca="false">G7+G8+G9-G10</f>
        <v>66</v>
      </c>
      <c r="H11" s="33" t="n">
        <f aca="false">H7+H8+H9-H10</f>
        <v>61</v>
      </c>
      <c r="I11" s="33" t="n">
        <f aca="false">I7+I8+I9-I10</f>
        <v>59</v>
      </c>
      <c r="J11" s="33" t="n">
        <f aca="false">J7+J8+J9-J10</f>
        <v>63</v>
      </c>
      <c r="K11" s="33" t="n">
        <f aca="false">K7+K8+K9-K10</f>
        <v>69</v>
      </c>
      <c r="L11" s="33" t="n">
        <f aca="false">L7+L8+L9-L10</f>
        <v>74</v>
      </c>
      <c r="M11" s="33" t="n">
        <f aca="false">M7+M8+M9-M10</f>
        <v>79</v>
      </c>
      <c r="N11" s="33" t="n">
        <f aca="false">N7+N8+N9-N10</f>
        <v>80</v>
      </c>
    </row>
    <row r="12" customFormat="false" ht="15" hidden="false" customHeight="false" outlineLevel="0" collapsed="false">
      <c r="A12" s="16" t="str">
        <f aca="false">$A$6</f>
        <v>Ambiente</v>
      </c>
      <c r="B12" s="8" t="s">
        <v>120</v>
      </c>
      <c r="C12" s="10" t="n">
        <f aca="false">AVERAGE(D10:F10)</f>
        <v>28.3333333333333</v>
      </c>
      <c r="D12" s="10" t="n">
        <f aca="false">AVERAGE(E10:G10)</f>
        <v>28</v>
      </c>
      <c r="E12" s="10" t="n">
        <f aca="false">AVERAGE(F10:H10)</f>
        <v>27.3333333333333</v>
      </c>
      <c r="F12" s="10" t="n">
        <f aca="false">AVERAGE(G10:I10)</f>
        <v>24.6666666666667</v>
      </c>
      <c r="G12" s="10" t="n">
        <f aca="false">AVERAGE(H10:J10)</f>
        <v>22</v>
      </c>
      <c r="H12" s="10" t="n">
        <f aca="false">AVERAGE(I10:K10)</f>
        <v>20.3333333333333</v>
      </c>
      <c r="I12" s="10" t="n">
        <f aca="false">AVERAGE(J10:L10)</f>
        <v>19.6666666666667</v>
      </c>
      <c r="J12" s="10" t="n">
        <f aca="false">AVERAGE(K10:M10)</f>
        <v>21</v>
      </c>
      <c r="K12" s="10" t="n">
        <f aca="false">AVERAGE(L10:N10)</f>
        <v>23</v>
      </c>
      <c r="L12" s="10" t="n">
        <f aca="false">AVERAGE(M10:O10)</f>
        <v>24.6666666666667</v>
      </c>
      <c r="M12" s="10" t="n">
        <f aca="false">AVERAGE(N10:P10)</f>
        <v>26.3333333333333</v>
      </c>
      <c r="N12" s="10" t="n">
        <f aca="false">AVERAGE(O10:Q10)</f>
        <v>26.6666666666667</v>
      </c>
    </row>
    <row r="13" customFormat="false" ht="15" hidden="false" customHeight="false" outlineLevel="0" collapsed="false">
      <c r="A13" s="16" t="str">
        <f aca="false">$A$6</f>
        <v>Ambiente</v>
      </c>
      <c r="B13" s="8" t="s">
        <v>121</v>
      </c>
      <c r="C13" s="10" t="n">
        <f aca="false">$D$6*C12</f>
        <v>85</v>
      </c>
      <c r="D13" s="10" t="n">
        <f aca="false">$D$6*D12</f>
        <v>84</v>
      </c>
      <c r="E13" s="10" t="n">
        <f aca="false">$D$6*E12</f>
        <v>82</v>
      </c>
      <c r="F13" s="10" t="n">
        <f aca="false">$D$6*F12</f>
        <v>74</v>
      </c>
      <c r="G13" s="10" t="n">
        <f aca="false">$D$6*G12</f>
        <v>66</v>
      </c>
      <c r="H13" s="10" t="n">
        <f aca="false">$D$6*H12</f>
        <v>61</v>
      </c>
      <c r="I13" s="10" t="n">
        <f aca="false">$D$6*I12</f>
        <v>59</v>
      </c>
      <c r="J13" s="10" t="n">
        <f aca="false">$D$6*J12</f>
        <v>63</v>
      </c>
      <c r="K13" s="10" t="n">
        <f aca="false">$D$6*K12</f>
        <v>69</v>
      </c>
      <c r="L13" s="10" t="n">
        <f aca="false">$D$6*L12</f>
        <v>74</v>
      </c>
      <c r="M13" s="10" t="n">
        <f aca="false">$D$6*M12</f>
        <v>79</v>
      </c>
      <c r="N13" s="10" t="n">
        <f aca="false">$D$6*N12</f>
        <v>80</v>
      </c>
    </row>
    <row r="14" customFormat="false" ht="15" hidden="false" customHeight="false" outlineLevel="0" collapsed="false">
      <c r="A14" s="16" t="str">
        <f aca="false">$A$6</f>
        <v>Ambiente</v>
      </c>
      <c r="B14" s="5" t="s">
        <v>59</v>
      </c>
      <c r="C14" s="10" t="n">
        <f aca="false">IFERROR(C11/C12,"")</f>
        <v>2.82352941176471</v>
      </c>
      <c r="D14" s="10" t="n">
        <f aca="false">IFERROR(D11/D12,"")</f>
        <v>2.85714285714286</v>
      </c>
      <c r="E14" s="10" t="n">
        <f aca="false">IFERROR(E11/E12,"")</f>
        <v>2.92682926829268</v>
      </c>
      <c r="F14" s="10" t="n">
        <f aca="false">IFERROR(F11/F12,"")</f>
        <v>3</v>
      </c>
      <c r="G14" s="10" t="n">
        <f aca="false">IFERROR(G11/G12,"")</f>
        <v>3</v>
      </c>
      <c r="H14" s="10" t="n">
        <f aca="false">IFERROR(H11/H12,"")</f>
        <v>3</v>
      </c>
      <c r="I14" s="10" t="n">
        <f aca="false">IFERROR(I11/I12,"")</f>
        <v>3</v>
      </c>
      <c r="J14" s="10" t="n">
        <f aca="false">IFERROR(J11/J12,"")</f>
        <v>3</v>
      </c>
      <c r="K14" s="10" t="n">
        <f aca="false">IFERROR(K11/K12,"")</f>
        <v>3</v>
      </c>
      <c r="L14" s="10" t="n">
        <f aca="false">IFERROR(L11/L12,"")</f>
        <v>3</v>
      </c>
      <c r="M14" s="10" t="n">
        <f aca="false">IFERROR(M11/M12,"")</f>
        <v>3</v>
      </c>
      <c r="N14" s="10" t="n">
        <f aca="false">IFERROR(N11/N12,"")</f>
        <v>3</v>
      </c>
    </row>
    <row r="15" customFormat="false" ht="15" hidden="false" customHeight="false" outlineLevel="0" collapsed="false">
      <c r="A15" s="16" t="str">
        <f aca="false">$A$6</f>
        <v>Ambiente</v>
      </c>
      <c r="B15" s="5" t="s">
        <v>122</v>
      </c>
      <c r="C15" s="33" t="n">
        <f aca="false">IF(C$3+$F$6&lt;=12,INDEX($C$9:$N$9,C$3+$F$6),"")</f>
        <v>24</v>
      </c>
      <c r="D15" s="33" t="n">
        <f aca="false">IF(D$3+$F$6&lt;=12,INDEX($C$9:$N$9,D$3+$F$6),"")</f>
        <v>20</v>
      </c>
      <c r="E15" s="33" t="n">
        <f aca="false">IF(E$3+$F$6&lt;=12,INDEX($C$9:$N$9,E$3+$F$6),"")</f>
        <v>19</v>
      </c>
      <c r="F15" s="33" t="n">
        <f aca="false">IF(F$3+$F$6&lt;=12,INDEX($C$9:$N$9,F$3+$F$6),"")</f>
        <v>20</v>
      </c>
      <c r="G15" s="33" t="n">
        <f aca="false">IF(G$3+$F$6&lt;=12,INDEX($C$9:$N$9,G$3+$F$6),"")</f>
        <v>24</v>
      </c>
      <c r="H15" s="33" t="n">
        <f aca="false">IF(H$3+$F$6&lt;=12,INDEX($C$9:$N$9,H$3+$F$6),"")</f>
        <v>25</v>
      </c>
      <c r="I15" s="33" t="n">
        <f aca="false">IF(I$3+$F$6&lt;=12,INDEX($C$9:$N$9,I$3+$F$6),"")</f>
        <v>25</v>
      </c>
      <c r="J15" s="33" t="n">
        <f aca="false">IF(J$3+$F$6&lt;=12,INDEX($C$9:$N$9,J$3+$F$6),"")</f>
        <v>29</v>
      </c>
      <c r="K15" s="33" t="n">
        <f aca="false">IF(K$3+$F$6&lt;=12,INDEX($C$9:$N$9,K$3+$F$6),"")</f>
        <v>26</v>
      </c>
      <c r="L15" s="33" t="str">
        <f aca="false">IF(L$3+$F$6&lt;=12,INDEX($C$9:$N$9,L$3+$F$6),"")</f>
        <v/>
      </c>
      <c r="M15" s="33" t="str">
        <f aca="false">IF(M$3+$F$6&lt;=12,INDEX($C$9:$N$9,M$3+$F$6),"")</f>
        <v/>
      </c>
      <c r="N15" s="33" t="str">
        <f aca="false">IF(N$3+$F$6&lt;=12,INDEX($C$9:$N$9,N$3+$F$6),"")</f>
        <v/>
      </c>
    </row>
    <row r="16" customFormat="false" ht="15" hidden="false" customHeight="false" outlineLevel="0" collapsed="false">
      <c r="A16" s="16" t="str">
        <f aca="false">$A$6</f>
        <v>Ambiente</v>
      </c>
      <c r="B16" s="8" t="s">
        <v>123</v>
      </c>
      <c r="C16" s="30" t="n">
        <f aca="false">SUMIFS(Orders!$E$2:$E$2000,Orders!$C$2:$C$2000,$A6,Orders!$D$2:$D$2000,C$4)</f>
        <v>0</v>
      </c>
      <c r="D16" s="30" t="n">
        <f aca="false">SUMIFS(Orders!$E$2:$E$2000,Orders!$C$2:$C$2000,$A6,Orders!$D$2:$D$2000,D$4)</f>
        <v>0</v>
      </c>
      <c r="E16" s="30" t="n">
        <f aca="false">SUMIFS(Orders!$E$2:$E$2000,Orders!$C$2:$C$2000,$A6,Orders!$D$2:$D$2000,E$4)</f>
        <v>0</v>
      </c>
      <c r="F16" s="30" t="n">
        <f aca="false">SUMIFS(Orders!$E$2:$E$2000,Orders!$C$2:$C$2000,$A6,Orders!$D$2:$D$2000,F$4)</f>
        <v>0</v>
      </c>
      <c r="G16" s="30" t="n">
        <f aca="false">SUMIFS(Orders!$E$2:$E$2000,Orders!$C$2:$C$2000,$A6,Orders!$D$2:$D$2000,G$4)</f>
        <v>0</v>
      </c>
      <c r="H16" s="30" t="n">
        <f aca="false">SUMIFS(Orders!$E$2:$E$2000,Orders!$C$2:$C$2000,$A6,Orders!$D$2:$D$2000,H$4)</f>
        <v>0</v>
      </c>
      <c r="I16" s="30" t="n">
        <f aca="false">SUMIFS(Orders!$E$2:$E$2000,Orders!$C$2:$C$2000,$A6,Orders!$D$2:$D$2000,I$4)</f>
        <v>0</v>
      </c>
      <c r="J16" s="30" t="n">
        <f aca="false">SUMIFS(Orders!$E$2:$E$2000,Orders!$C$2:$C$2000,$A6,Orders!$D$2:$D$2000,J$4)</f>
        <v>0</v>
      </c>
      <c r="K16" s="30" t="n">
        <f aca="false">SUMIFS(Orders!$E$2:$E$2000,Orders!$C$2:$C$2000,$A6,Orders!$D$2:$D$2000,K$4)</f>
        <v>0</v>
      </c>
      <c r="L16" s="30" t="n">
        <f aca="false">SUMIFS(Orders!$E$2:$E$2000,Orders!$C$2:$C$2000,$A6,Orders!$D$2:$D$2000,L$4)</f>
        <v>0</v>
      </c>
      <c r="M16" s="30" t="n">
        <f aca="false">SUMIFS(Orders!$E$2:$E$2000,Orders!$C$2:$C$2000,$A6,Orders!$D$2:$D$2000,M$4)</f>
        <v>0</v>
      </c>
      <c r="N16" s="30" t="n">
        <f aca="false">SUMIFS(Orders!$E$2:$E$2000,Orders!$C$2:$C$2000,$A6,Orders!$D$2:$D$2000,N$4)</f>
        <v>0</v>
      </c>
    </row>
    <row r="18" customFormat="false" ht="15" hidden="false" customHeight="false" outlineLevel="0" collapsed="false">
      <c r="A18" s="17" t="str">
        <f aca="false">INDEX(Settings!$B$2:$B$100,2)</f>
        <v>Trend</v>
      </c>
      <c r="B18" s="17" t="str">
        <f aca="false">INDEX(Settings!$A$2:$A$100,2)&amp;" - "&amp;A18</f>
        <v>Territory - Trend</v>
      </c>
      <c r="C18" s="17" t="s">
        <v>43</v>
      </c>
      <c r="D18" s="17" t="n">
        <f aca="false">INDEX(Settings!$C$2:$C$100,MATCH($A18,Settings!$B$2:$B$100,0))</f>
        <v>3</v>
      </c>
      <c r="E18" s="17" t="s">
        <v>115</v>
      </c>
      <c r="F18" s="17" t="n">
        <f aca="false">INDEX(Settings!$D$2:$D$100,MATCH($A18,Settings!$B$2:$B$100,0))</f>
        <v>3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customFormat="false" ht="15" hidden="false" customHeight="false" outlineLevel="0" collapsed="false">
      <c r="A19" s="16" t="str">
        <f aca="false">$A$18</f>
        <v>Trend</v>
      </c>
      <c r="B19" s="8" t="s">
        <v>116</v>
      </c>
      <c r="C19" s="30" t="n">
        <f aca="false">SUMIFS('Opening Stock'!$D$2:$D$1000,'Opening Stock'!$B$2:$B$1000,$A18)</f>
        <v>210</v>
      </c>
      <c r="D19" s="30" t="n">
        <f aca="false">C23</f>
        <v>210</v>
      </c>
      <c r="E19" s="30" t="n">
        <f aca="false">D23</f>
        <v>247</v>
      </c>
      <c r="F19" s="30" t="n">
        <f aca="false">E23</f>
        <v>210</v>
      </c>
      <c r="G19" s="30" t="n">
        <f aca="false">F23</f>
        <v>168</v>
      </c>
      <c r="H19" s="30" t="n">
        <f aca="false">G23</f>
        <v>130</v>
      </c>
      <c r="I19" s="30" t="n">
        <f aca="false">H23</f>
        <v>97</v>
      </c>
      <c r="J19" s="30" t="n">
        <f aca="false">I23</f>
        <v>82</v>
      </c>
      <c r="K19" s="30" t="n">
        <f aca="false">J23</f>
        <v>87</v>
      </c>
      <c r="L19" s="30" t="n">
        <f aca="false">K23</f>
        <v>96</v>
      </c>
      <c r="M19" s="30" t="n">
        <f aca="false">L23</f>
        <v>103</v>
      </c>
      <c r="N19" s="30" t="n">
        <f aca="false">M23</f>
        <v>110</v>
      </c>
    </row>
    <row r="20" customFormat="false" ht="15" hidden="false" customHeight="false" outlineLevel="0" collapsed="false">
      <c r="A20" s="16" t="str">
        <f aca="false">$A$18</f>
        <v>Trend</v>
      </c>
      <c r="B20" s="8" t="s">
        <v>117</v>
      </c>
      <c r="C20" s="30" t="n">
        <f aca="false">SUMIFS(Orders!$E$2:$E$2000,Orders!$C$2:$C$2000,$A18,Orders!$H$2:$H$2000,C$4)</f>
        <v>35</v>
      </c>
      <c r="D20" s="30" t="n">
        <f aca="false">SUMIFS(Orders!$E$2:$E$2000,Orders!$C$2:$C$2000,$A18,Orders!$H$2:$H$2000,D$4)</f>
        <v>77</v>
      </c>
      <c r="E20" s="30" t="n">
        <f aca="false">SUMIFS(Orders!$E$2:$E$2000,Orders!$C$2:$C$2000,$A18,Orders!$H$2:$H$2000,E$4)</f>
        <v>0</v>
      </c>
      <c r="F20" s="30" t="n">
        <f aca="false">SUMIFS(Orders!$E$2:$E$2000,Orders!$C$2:$C$2000,$A18,Orders!$H$2:$H$2000,F$4)</f>
        <v>0</v>
      </c>
      <c r="G20" s="30" t="n">
        <f aca="false">SUMIFS(Orders!$E$2:$E$2000,Orders!$C$2:$C$2000,$A18,Orders!$H$2:$H$2000,G$4)</f>
        <v>0</v>
      </c>
      <c r="H20" s="30" t="n">
        <f aca="false">SUMIFS(Orders!$E$2:$E$2000,Orders!$C$2:$C$2000,$A18,Orders!$H$2:$H$2000,H$4)</f>
        <v>0</v>
      </c>
      <c r="I20" s="30" t="n">
        <f aca="false">SUMIFS(Orders!$E$2:$E$2000,Orders!$C$2:$C$2000,$A18,Orders!$H$2:$H$2000,I$4)</f>
        <v>0</v>
      </c>
      <c r="J20" s="30" t="n">
        <f aca="false">SUMIFS(Orders!$E$2:$E$2000,Orders!$C$2:$C$2000,$A18,Orders!$H$2:$H$2000,J$4)</f>
        <v>0</v>
      </c>
      <c r="K20" s="30" t="n">
        <f aca="false">SUMIFS(Orders!$E$2:$E$2000,Orders!$C$2:$C$2000,$A18,Orders!$H$2:$H$2000,K$4)</f>
        <v>0</v>
      </c>
      <c r="L20" s="30" t="n">
        <f aca="false">SUMIFS(Orders!$E$2:$E$2000,Orders!$C$2:$C$2000,$A18,Orders!$H$2:$H$2000,L$4)</f>
        <v>0</v>
      </c>
      <c r="M20" s="30" t="n">
        <f aca="false">SUMIFS(Orders!$E$2:$E$2000,Orders!$C$2:$C$2000,$A18,Orders!$H$2:$H$2000,M$4)</f>
        <v>0</v>
      </c>
      <c r="N20" s="30" t="n">
        <f aca="false">SUMIFS(Orders!$E$2:$E$2000,Orders!$C$2:$C$2000,$A18,Orders!$H$2:$H$2000,N$4)</f>
        <v>0</v>
      </c>
    </row>
    <row r="21" customFormat="false" ht="15" hidden="false" customHeight="false" outlineLevel="0" collapsed="false">
      <c r="A21" s="16" t="str">
        <f aca="false">$A$18</f>
        <v>Trend</v>
      </c>
      <c r="B21" s="8" t="s">
        <v>118</v>
      </c>
      <c r="C21" s="31" t="n">
        <f aca="false">IF(C$3&lt;=$F$18,0,MAX(0,ROUNDUP(C25-(C19+C20-C22),0)))</f>
        <v>0</v>
      </c>
      <c r="D21" s="31" t="n">
        <f aca="false">IF(D$3&lt;=$F$18,0,MAX(0,ROUNDUP(D25-(D19+D20-D22),0)))</f>
        <v>0</v>
      </c>
      <c r="E21" s="31" t="n">
        <f aca="false">IF(E$3&lt;=$F$18,0,MAX(0,ROUNDUP(E25-(E19+E20-E22),0)))</f>
        <v>0</v>
      </c>
      <c r="F21" s="30" t="n">
        <f aca="false">IF(F$3&lt;=$F$18,0,MAX(0,ROUNDUP(F25-(F19+F20-F22),0)))</f>
        <v>0</v>
      </c>
      <c r="G21" s="30" t="n">
        <f aca="false">IF(G$3&lt;=$F$18,0,MAX(0,ROUNDUP(G25-(G19+G20-G22),0)))</f>
        <v>0</v>
      </c>
      <c r="H21" s="30" t="n">
        <f aca="false">IF(H$3&lt;=$F$18,0,MAX(0,ROUNDUP(H25-(H19+H20-H22),0)))</f>
        <v>0</v>
      </c>
      <c r="I21" s="30" t="n">
        <f aca="false">IF(I$3&lt;=$F$18,0,MAX(0,ROUNDUP(I25-(I19+I20-I22),0)))</f>
        <v>17</v>
      </c>
      <c r="J21" s="30" t="n">
        <f aca="false">IF(J$3&lt;=$F$18,0,MAX(0,ROUNDUP(J25-(J19+J20-J22),0)))</f>
        <v>33</v>
      </c>
      <c r="K21" s="30" t="n">
        <f aca="false">IF(K$3&lt;=$F$18,0,MAX(0,ROUNDUP(K25-(K19+K20-K22),0)))</f>
        <v>35</v>
      </c>
      <c r="L21" s="30" t="n">
        <f aca="false">IF(L$3&lt;=$F$18,0,MAX(0,ROUNDUP(L25-(L19+L20-L22),0)))</f>
        <v>35</v>
      </c>
      <c r="M21" s="30" t="n">
        <f aca="false">IF(M$3&lt;=$F$18,0,MAX(0,ROUNDUP(M25-(M19+M20-M22),0)))</f>
        <v>40</v>
      </c>
      <c r="N21" s="30" t="n">
        <f aca="false">IF(N$3&lt;=$F$18,0,MAX(0,ROUNDUP(N25-(N19+N20-N22),0)))</f>
        <v>37</v>
      </c>
    </row>
    <row r="22" customFormat="false" ht="15" hidden="false" customHeight="false" outlineLevel="0" collapsed="false">
      <c r="A22" s="16" t="str">
        <f aca="false">$A$18</f>
        <v>Trend</v>
      </c>
      <c r="B22" s="8" t="s">
        <v>119</v>
      </c>
      <c r="C22" s="30" t="n">
        <f aca="false">IF(COUNTIFS(Sales!$B$2:$B$2000,$A18,Sales!$C$2:$C$2000,C$4,Sales!$E$2:$E$2000,"Actual")&gt;0,SUMIFS(Sales!$D$2:$D$2000,Sales!$B$2:$B$2000,$A18,Sales!$C$2:$C$2000,C$4,Sales!$E$2:$E$2000,"Actual"),SUMIFS(Sales!$D$2:$D$2000,Sales!$B$2:$B$2000,$A18,Sales!$C$2:$C$2000,C$4,Sales!$E$2:$E$2000,"Forecast"))</f>
        <v>35</v>
      </c>
      <c r="D22" s="30" t="n">
        <f aca="false">IF(COUNTIFS(Sales!$B$2:$B$2000,$A18,Sales!$C$2:$C$2000,D$4,Sales!$E$2:$E$2000,"Actual")&gt;0,SUMIFS(Sales!$D$2:$D$2000,Sales!$B$2:$B$2000,$A18,Sales!$C$2:$C$2000,D$4,Sales!$E$2:$E$2000,"Actual"),SUMIFS(Sales!$D$2:$D$2000,Sales!$B$2:$B$2000,$A18,Sales!$C$2:$C$2000,D$4,Sales!$E$2:$E$2000,"Forecast"))</f>
        <v>40</v>
      </c>
      <c r="E22" s="30" t="n">
        <f aca="false">IF(COUNTIFS(Sales!$B$2:$B$2000,$A18,Sales!$C$2:$C$2000,E$4,Sales!$E$2:$E$2000,"Actual")&gt;0,SUMIFS(Sales!$D$2:$D$2000,Sales!$B$2:$B$2000,$A18,Sales!$C$2:$C$2000,E$4,Sales!$E$2:$E$2000,"Actual"),SUMIFS(Sales!$D$2:$D$2000,Sales!$B$2:$B$2000,$A18,Sales!$C$2:$C$2000,E$4,Sales!$E$2:$E$2000,"Forecast"))</f>
        <v>37</v>
      </c>
      <c r="F22" s="30" t="n">
        <f aca="false">IF(COUNTIFS(Sales!$B$2:$B$2000,$A18,Sales!$C$2:$C$2000,F$4,Sales!$E$2:$E$2000,"Actual")&gt;0,SUMIFS(Sales!$D$2:$D$2000,Sales!$B$2:$B$2000,$A18,Sales!$C$2:$C$2000,F$4,Sales!$E$2:$E$2000,"Actual"),SUMIFS(Sales!$D$2:$D$2000,Sales!$B$2:$B$2000,$A18,Sales!$C$2:$C$2000,F$4,Sales!$E$2:$E$2000,"Forecast"))</f>
        <v>42</v>
      </c>
      <c r="G22" s="30" t="n">
        <f aca="false">IF(COUNTIFS(Sales!$B$2:$B$2000,$A18,Sales!$C$2:$C$2000,G$4,Sales!$E$2:$E$2000,"Actual")&gt;0,SUMIFS(Sales!$D$2:$D$2000,Sales!$B$2:$B$2000,$A18,Sales!$C$2:$C$2000,G$4,Sales!$E$2:$E$2000,"Actual"),SUMIFS(Sales!$D$2:$D$2000,Sales!$B$2:$B$2000,$A18,Sales!$C$2:$C$2000,G$4,Sales!$E$2:$E$2000,"Forecast"))</f>
        <v>38</v>
      </c>
      <c r="H22" s="30" t="n">
        <f aca="false">IF(COUNTIFS(Sales!$B$2:$B$2000,$A18,Sales!$C$2:$C$2000,H$4,Sales!$E$2:$E$2000,"Actual")&gt;0,SUMIFS(Sales!$D$2:$D$2000,Sales!$B$2:$B$2000,$A18,Sales!$C$2:$C$2000,H$4,Sales!$E$2:$E$2000,"Actual"),SUMIFS(Sales!$D$2:$D$2000,Sales!$B$2:$B$2000,$A18,Sales!$C$2:$C$2000,H$4,Sales!$E$2:$E$2000,"Forecast"))</f>
        <v>33</v>
      </c>
      <c r="I22" s="30" t="n">
        <f aca="false">IF(COUNTIFS(Sales!$B$2:$B$2000,$A18,Sales!$C$2:$C$2000,I$4,Sales!$E$2:$E$2000,"Actual")&gt;0,SUMIFS(Sales!$D$2:$D$2000,Sales!$B$2:$B$2000,$A18,Sales!$C$2:$C$2000,I$4,Sales!$E$2:$E$2000,"Actual"),SUMIFS(Sales!$D$2:$D$2000,Sales!$B$2:$B$2000,$A18,Sales!$C$2:$C$2000,I$4,Sales!$E$2:$E$2000,"Forecast"))</f>
        <v>32</v>
      </c>
      <c r="J22" s="30" t="n">
        <f aca="false">IF(COUNTIFS(Sales!$B$2:$B$2000,$A18,Sales!$C$2:$C$2000,J$4,Sales!$E$2:$E$2000,"Actual")&gt;0,SUMIFS(Sales!$D$2:$D$2000,Sales!$B$2:$B$2000,$A18,Sales!$C$2:$C$2000,J$4,Sales!$E$2:$E$2000,"Actual"),SUMIFS(Sales!$D$2:$D$2000,Sales!$B$2:$B$2000,$A18,Sales!$C$2:$C$2000,J$4,Sales!$E$2:$E$2000,"Forecast"))</f>
        <v>28</v>
      </c>
      <c r="K22" s="30" t="n">
        <f aca="false">IF(COUNTIFS(Sales!$B$2:$B$2000,$A18,Sales!$C$2:$C$2000,K$4,Sales!$E$2:$E$2000,"Actual")&gt;0,SUMIFS(Sales!$D$2:$D$2000,Sales!$B$2:$B$2000,$A18,Sales!$C$2:$C$2000,K$4,Sales!$E$2:$E$2000,"Actual"),SUMIFS(Sales!$D$2:$D$2000,Sales!$B$2:$B$2000,$A18,Sales!$C$2:$C$2000,K$4,Sales!$E$2:$E$2000,"Forecast"))</f>
        <v>26</v>
      </c>
      <c r="L22" s="30" t="n">
        <f aca="false">IF(COUNTIFS(Sales!$B$2:$B$2000,$A18,Sales!$C$2:$C$2000,L$4,Sales!$E$2:$E$2000,"Actual")&gt;0,SUMIFS(Sales!$D$2:$D$2000,Sales!$B$2:$B$2000,$A18,Sales!$C$2:$C$2000,L$4,Sales!$E$2:$E$2000,"Actual"),SUMIFS(Sales!$D$2:$D$2000,Sales!$B$2:$B$2000,$A18,Sales!$C$2:$C$2000,L$4,Sales!$E$2:$E$2000,"Forecast"))</f>
        <v>28</v>
      </c>
      <c r="M22" s="30" t="n">
        <f aca="false">IF(COUNTIFS(Sales!$B$2:$B$2000,$A18,Sales!$C$2:$C$2000,M$4,Sales!$E$2:$E$2000,"Actual")&gt;0,SUMIFS(Sales!$D$2:$D$2000,Sales!$B$2:$B$2000,$A18,Sales!$C$2:$C$2000,M$4,Sales!$E$2:$E$2000,"Actual"),SUMIFS(Sales!$D$2:$D$2000,Sales!$B$2:$B$2000,$A18,Sales!$C$2:$C$2000,M$4,Sales!$E$2:$E$2000,"Forecast"))</f>
        <v>33</v>
      </c>
      <c r="N22" s="30" t="n">
        <f aca="false">IF(COUNTIFS(Sales!$B$2:$B$2000,$A18,Sales!$C$2:$C$2000,N$4,Sales!$E$2:$E$2000,"Actual")&gt;0,SUMIFS(Sales!$D$2:$D$2000,Sales!$B$2:$B$2000,$A18,Sales!$C$2:$C$2000,N$4,Sales!$E$2:$E$2000,"Actual"),SUMIFS(Sales!$D$2:$D$2000,Sales!$B$2:$B$2000,$A18,Sales!$C$2:$C$2000,N$4,Sales!$E$2:$E$2000,"Forecast"))</f>
        <v>35</v>
      </c>
      <c r="O22" s="32" t="n">
        <f aca="false">IF(COUNTIFS(Sales!$B$2:$B$2000,$A18,Sales!$C$2:$C$2000,O$4,Sales!$E$2:$E$2000,"Actual")&gt;0,SUMIFS(Sales!$D$2:$D$2000,Sales!$B$2:$B$2000,$A18,Sales!$C$2:$C$2000,O$4,Sales!$E$2:$E$2000,"Actual"),SUMIFS(Sales!$D$2:$D$2000,Sales!$B$2:$B$2000,$A18,Sales!$C$2:$C$2000,O$4,Sales!$E$2:$E$2000,"Forecast"))</f>
        <v>35</v>
      </c>
      <c r="P22" s="32" t="n">
        <f aca="false">IF(COUNTIFS(Sales!$B$2:$B$2000,$A18,Sales!$C$2:$C$2000,P$4,Sales!$E$2:$E$2000,"Actual")&gt;0,SUMIFS(Sales!$D$2:$D$2000,Sales!$B$2:$B$2000,$A18,Sales!$C$2:$C$2000,P$4,Sales!$E$2:$E$2000,"Actual"),SUMIFS(Sales!$D$2:$D$2000,Sales!$B$2:$B$2000,$A18,Sales!$C$2:$C$2000,P$4,Sales!$E$2:$E$2000,"Forecast"))</f>
        <v>40</v>
      </c>
      <c r="Q22" s="32" t="n">
        <f aca="false">IF(COUNTIFS(Sales!$B$2:$B$2000,$A18,Sales!$C$2:$C$2000,Q$4,Sales!$E$2:$E$2000,"Actual")&gt;0,SUMIFS(Sales!$D$2:$D$2000,Sales!$B$2:$B$2000,$A18,Sales!$C$2:$C$2000,Q$4,Sales!$E$2:$E$2000,"Actual"),SUMIFS(Sales!$D$2:$D$2000,Sales!$B$2:$B$2000,$A18,Sales!$C$2:$C$2000,Q$4,Sales!$E$2:$E$2000,"Forecast"))</f>
        <v>37</v>
      </c>
    </row>
    <row r="23" customFormat="false" ht="15" hidden="false" customHeight="false" outlineLevel="0" collapsed="false">
      <c r="A23" s="16" t="str">
        <f aca="false">$A$18</f>
        <v>Trend</v>
      </c>
      <c r="B23" s="5" t="s">
        <v>58</v>
      </c>
      <c r="C23" s="33" t="n">
        <f aca="false">C19+C20+C21-C22</f>
        <v>210</v>
      </c>
      <c r="D23" s="33" t="n">
        <f aca="false">D19+D20+D21-D22</f>
        <v>247</v>
      </c>
      <c r="E23" s="33" t="n">
        <f aca="false">E19+E20+E21-E22</f>
        <v>210</v>
      </c>
      <c r="F23" s="33" t="n">
        <f aca="false">F19+F20+F21-F22</f>
        <v>168</v>
      </c>
      <c r="G23" s="33" t="n">
        <f aca="false">G19+G20+G21-G22</f>
        <v>130</v>
      </c>
      <c r="H23" s="33" t="n">
        <f aca="false">H19+H20+H21-H22</f>
        <v>97</v>
      </c>
      <c r="I23" s="33" t="n">
        <f aca="false">I19+I20+I21-I22</f>
        <v>82</v>
      </c>
      <c r="J23" s="33" t="n">
        <f aca="false">J19+J20+J21-J22</f>
        <v>87</v>
      </c>
      <c r="K23" s="33" t="n">
        <f aca="false">K19+K20+K21-K22</f>
        <v>96</v>
      </c>
      <c r="L23" s="33" t="n">
        <f aca="false">L19+L20+L21-L22</f>
        <v>103</v>
      </c>
      <c r="M23" s="33" t="n">
        <f aca="false">M19+M20+M21-M22</f>
        <v>110</v>
      </c>
      <c r="N23" s="33" t="n">
        <f aca="false">N19+N20+N21-N22</f>
        <v>112</v>
      </c>
    </row>
    <row r="24" customFormat="false" ht="15" hidden="false" customHeight="false" outlineLevel="0" collapsed="false">
      <c r="A24" s="16" t="str">
        <f aca="false">$A$18</f>
        <v>Trend</v>
      </c>
      <c r="B24" s="8" t="s">
        <v>120</v>
      </c>
      <c r="C24" s="10" t="n">
        <f aca="false">AVERAGE(D22:F22)</f>
        <v>39.6666666666667</v>
      </c>
      <c r="D24" s="10" t="n">
        <f aca="false">AVERAGE(E22:G22)</f>
        <v>39</v>
      </c>
      <c r="E24" s="10" t="n">
        <f aca="false">AVERAGE(F22:H22)</f>
        <v>37.6666666666667</v>
      </c>
      <c r="F24" s="10" t="n">
        <f aca="false">AVERAGE(G22:I22)</f>
        <v>34.3333333333333</v>
      </c>
      <c r="G24" s="10" t="n">
        <f aca="false">AVERAGE(H22:J22)</f>
        <v>31</v>
      </c>
      <c r="H24" s="10" t="n">
        <f aca="false">AVERAGE(I22:K22)</f>
        <v>28.6666666666667</v>
      </c>
      <c r="I24" s="10" t="n">
        <f aca="false">AVERAGE(J22:L22)</f>
        <v>27.3333333333333</v>
      </c>
      <c r="J24" s="10" t="n">
        <f aca="false">AVERAGE(K22:M22)</f>
        <v>29</v>
      </c>
      <c r="K24" s="10" t="n">
        <f aca="false">AVERAGE(L22:N22)</f>
        <v>32</v>
      </c>
      <c r="L24" s="10" t="n">
        <f aca="false">AVERAGE(M22:O22)</f>
        <v>34.3333333333333</v>
      </c>
      <c r="M24" s="10" t="n">
        <f aca="false">AVERAGE(N22:P22)</f>
        <v>36.6666666666667</v>
      </c>
      <c r="N24" s="10" t="n">
        <f aca="false">AVERAGE(O22:Q22)</f>
        <v>37.3333333333333</v>
      </c>
    </row>
    <row r="25" customFormat="false" ht="15" hidden="false" customHeight="false" outlineLevel="0" collapsed="false">
      <c r="A25" s="16" t="str">
        <f aca="false">$A$18</f>
        <v>Trend</v>
      </c>
      <c r="B25" s="8" t="s">
        <v>121</v>
      </c>
      <c r="C25" s="10" t="n">
        <f aca="false">$D$18*C24</f>
        <v>119</v>
      </c>
      <c r="D25" s="10" t="n">
        <f aca="false">$D$18*D24</f>
        <v>117</v>
      </c>
      <c r="E25" s="10" t="n">
        <f aca="false">$D$18*E24</f>
        <v>113</v>
      </c>
      <c r="F25" s="10" t="n">
        <f aca="false">$D$18*F24</f>
        <v>103</v>
      </c>
      <c r="G25" s="10" t="n">
        <f aca="false">$D$18*G24</f>
        <v>93</v>
      </c>
      <c r="H25" s="10" t="n">
        <f aca="false">$D$18*H24</f>
        <v>86</v>
      </c>
      <c r="I25" s="10" t="n">
        <f aca="false">$D$18*I24</f>
        <v>82</v>
      </c>
      <c r="J25" s="10" t="n">
        <f aca="false">$D$18*J24</f>
        <v>87</v>
      </c>
      <c r="K25" s="10" t="n">
        <f aca="false">$D$18*K24</f>
        <v>96</v>
      </c>
      <c r="L25" s="10" t="n">
        <f aca="false">$D$18*L24</f>
        <v>103</v>
      </c>
      <c r="M25" s="10" t="n">
        <f aca="false">$D$18*M24</f>
        <v>110</v>
      </c>
      <c r="N25" s="10" t="n">
        <f aca="false">$D$18*N24</f>
        <v>112</v>
      </c>
    </row>
    <row r="26" customFormat="false" ht="15" hidden="false" customHeight="false" outlineLevel="0" collapsed="false">
      <c r="A26" s="16" t="str">
        <f aca="false">$A$18</f>
        <v>Trend</v>
      </c>
      <c r="B26" s="5" t="s">
        <v>59</v>
      </c>
      <c r="C26" s="10" t="n">
        <f aca="false">IFERROR(C23/C24,"")</f>
        <v>5.29411764705882</v>
      </c>
      <c r="D26" s="10" t="n">
        <f aca="false">IFERROR(D23/D24,"")</f>
        <v>6.33333333333333</v>
      </c>
      <c r="E26" s="10" t="n">
        <f aca="false">IFERROR(E23/E24,"")</f>
        <v>5.57522123893805</v>
      </c>
      <c r="F26" s="10" t="n">
        <f aca="false">IFERROR(F23/F24,"")</f>
        <v>4.89320388349515</v>
      </c>
      <c r="G26" s="10" t="n">
        <f aca="false">IFERROR(G23/G24,"")</f>
        <v>4.19354838709677</v>
      </c>
      <c r="H26" s="10" t="n">
        <f aca="false">IFERROR(H23/H24,"")</f>
        <v>3.38372093023256</v>
      </c>
      <c r="I26" s="10" t="n">
        <f aca="false">IFERROR(I23/I24,"")</f>
        <v>3</v>
      </c>
      <c r="J26" s="10" t="n">
        <f aca="false">IFERROR(J23/J24,"")</f>
        <v>3</v>
      </c>
      <c r="K26" s="10" t="n">
        <f aca="false">IFERROR(K23/K24,"")</f>
        <v>3</v>
      </c>
      <c r="L26" s="10" t="n">
        <f aca="false">IFERROR(L23/L24,"")</f>
        <v>3</v>
      </c>
      <c r="M26" s="10" t="n">
        <f aca="false">IFERROR(M23/M24,"")</f>
        <v>3</v>
      </c>
      <c r="N26" s="10" t="n">
        <f aca="false">IFERROR(N23/N24,"")</f>
        <v>3</v>
      </c>
    </row>
    <row r="27" customFormat="false" ht="15" hidden="false" customHeight="false" outlineLevel="0" collapsed="false">
      <c r="A27" s="16" t="str">
        <f aca="false">$A$18</f>
        <v>Trend</v>
      </c>
      <c r="B27" s="5" t="s">
        <v>122</v>
      </c>
      <c r="C27" s="33" t="n">
        <f aca="false">IF(C$3+$F$18&lt;=12,INDEX($C$21:$N$21,C$3+$F$18),"")</f>
        <v>0</v>
      </c>
      <c r="D27" s="33" t="n">
        <f aca="false">IF(D$3+$F$18&lt;=12,INDEX($C$21:$N$21,D$3+$F$18),"")</f>
        <v>0</v>
      </c>
      <c r="E27" s="33" t="n">
        <f aca="false">IF(E$3+$F$18&lt;=12,INDEX($C$21:$N$21,E$3+$F$18),"")</f>
        <v>0</v>
      </c>
      <c r="F27" s="33" t="n">
        <f aca="false">IF(F$3+$F$18&lt;=12,INDEX($C$21:$N$21,F$3+$F$18),"")</f>
        <v>17</v>
      </c>
      <c r="G27" s="33" t="n">
        <f aca="false">IF(G$3+$F$18&lt;=12,INDEX($C$21:$N$21,G$3+$F$18),"")</f>
        <v>33</v>
      </c>
      <c r="H27" s="33" t="n">
        <f aca="false">IF(H$3+$F$18&lt;=12,INDEX($C$21:$N$21,H$3+$F$18),"")</f>
        <v>35</v>
      </c>
      <c r="I27" s="33" t="n">
        <f aca="false">IF(I$3+$F$18&lt;=12,INDEX($C$21:$N$21,I$3+$F$18),"")</f>
        <v>35</v>
      </c>
      <c r="J27" s="33" t="n">
        <f aca="false">IF(J$3+$F$18&lt;=12,INDEX($C$21:$N$21,J$3+$F$18),"")</f>
        <v>40</v>
      </c>
      <c r="K27" s="33" t="n">
        <f aca="false">IF(K$3+$F$18&lt;=12,INDEX($C$21:$N$21,K$3+$F$18),"")</f>
        <v>37</v>
      </c>
      <c r="L27" s="33" t="str">
        <f aca="false">IF(L$3+$F$18&lt;=12,INDEX($C$21:$N$21,L$3+$F$18),"")</f>
        <v/>
      </c>
      <c r="M27" s="33" t="str">
        <f aca="false">IF(M$3+$F$18&lt;=12,INDEX($C$21:$N$21,M$3+$F$18),"")</f>
        <v/>
      </c>
      <c r="N27" s="33" t="str">
        <f aca="false">IF(N$3+$F$18&lt;=12,INDEX($C$21:$N$21,N$3+$F$18),"")</f>
        <v/>
      </c>
    </row>
    <row r="28" customFormat="false" ht="15" hidden="false" customHeight="false" outlineLevel="0" collapsed="false">
      <c r="A28" s="16" t="str">
        <f aca="false">$A$18</f>
        <v>Trend</v>
      </c>
      <c r="B28" s="8" t="s">
        <v>123</v>
      </c>
      <c r="C28" s="30" t="n">
        <f aca="false">SUMIFS(Orders!$E$2:$E$2000,Orders!$C$2:$C$2000,$A18,Orders!$D$2:$D$2000,C$4)</f>
        <v>0</v>
      </c>
      <c r="D28" s="30" t="n">
        <f aca="false">SUMIFS(Orders!$E$2:$E$2000,Orders!$C$2:$C$2000,$A18,Orders!$D$2:$D$2000,D$4)</f>
        <v>0</v>
      </c>
      <c r="E28" s="30" t="n">
        <f aca="false">SUMIFS(Orders!$E$2:$E$2000,Orders!$C$2:$C$2000,$A18,Orders!$D$2:$D$2000,E$4)</f>
        <v>0</v>
      </c>
      <c r="F28" s="30" t="n">
        <f aca="false">SUMIFS(Orders!$E$2:$E$2000,Orders!$C$2:$C$2000,$A18,Orders!$D$2:$D$2000,F$4)</f>
        <v>0</v>
      </c>
      <c r="G28" s="30" t="n">
        <f aca="false">SUMIFS(Orders!$E$2:$E$2000,Orders!$C$2:$C$2000,$A18,Orders!$D$2:$D$2000,G$4)</f>
        <v>0</v>
      </c>
      <c r="H28" s="30" t="n">
        <f aca="false">SUMIFS(Orders!$E$2:$E$2000,Orders!$C$2:$C$2000,$A18,Orders!$D$2:$D$2000,H$4)</f>
        <v>0</v>
      </c>
      <c r="I28" s="30" t="n">
        <f aca="false">SUMIFS(Orders!$E$2:$E$2000,Orders!$C$2:$C$2000,$A18,Orders!$D$2:$D$2000,I$4)</f>
        <v>0</v>
      </c>
      <c r="J28" s="30" t="n">
        <f aca="false">SUMIFS(Orders!$E$2:$E$2000,Orders!$C$2:$C$2000,$A18,Orders!$D$2:$D$2000,J$4)</f>
        <v>0</v>
      </c>
      <c r="K28" s="30" t="n">
        <f aca="false">SUMIFS(Orders!$E$2:$E$2000,Orders!$C$2:$C$2000,$A18,Orders!$D$2:$D$2000,K$4)</f>
        <v>0</v>
      </c>
      <c r="L28" s="30" t="n">
        <f aca="false">SUMIFS(Orders!$E$2:$E$2000,Orders!$C$2:$C$2000,$A18,Orders!$D$2:$D$2000,L$4)</f>
        <v>0</v>
      </c>
      <c r="M28" s="30" t="n">
        <f aca="false">SUMIFS(Orders!$E$2:$E$2000,Orders!$C$2:$C$2000,$A18,Orders!$D$2:$D$2000,M$4)</f>
        <v>0</v>
      </c>
      <c r="N28" s="30" t="n">
        <f aca="false">SUMIFS(Orders!$E$2:$E$2000,Orders!$C$2:$C$2000,$A18,Orders!$D$2:$D$2000,N$4)</f>
        <v>0</v>
      </c>
    </row>
    <row r="30" customFormat="false" ht="15" hidden="false" customHeight="false" outlineLevel="0" collapsed="false">
      <c r="A30" s="17" t="str">
        <f aca="false">INDEX(Settings!$B$2:$B$100,3)</f>
        <v>Titanium</v>
      </c>
      <c r="B30" s="17" t="str">
        <f aca="false">INDEX(Settings!$A$2:$A$100,3)&amp;" - "&amp;A30</f>
        <v>Territory - Titanium</v>
      </c>
      <c r="C30" s="17" t="s">
        <v>43</v>
      </c>
      <c r="D30" s="17" t="n">
        <f aca="false">INDEX(Settings!$C$2:$C$100,MATCH($A30,Settings!$B$2:$B$100,0))</f>
        <v>3</v>
      </c>
      <c r="E30" s="17" t="s">
        <v>115</v>
      </c>
      <c r="F30" s="17" t="n">
        <f aca="false">INDEX(Settings!$D$2:$D$100,MATCH($A30,Settings!$B$2:$B$100,0))</f>
        <v>3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customFormat="false" ht="15" hidden="false" customHeight="false" outlineLevel="0" collapsed="false">
      <c r="A31" s="16" t="str">
        <f aca="false">$A$30</f>
        <v>Titanium</v>
      </c>
      <c r="B31" s="8" t="s">
        <v>116</v>
      </c>
      <c r="C31" s="30" t="n">
        <f aca="false">SUMIFS('Opening Stock'!$D$2:$D$1000,'Opening Stock'!$B$2:$B$1000,$A30)</f>
        <v>45</v>
      </c>
      <c r="D31" s="30" t="n">
        <f aca="false">C35</f>
        <v>45</v>
      </c>
      <c r="E31" s="30" t="n">
        <f aca="false">D35</f>
        <v>45</v>
      </c>
      <c r="F31" s="30" t="n">
        <f aca="false">E35</f>
        <v>45</v>
      </c>
      <c r="G31" s="30" t="n">
        <f aca="false">F35</f>
        <v>99</v>
      </c>
      <c r="H31" s="30" t="n">
        <f aca="false">G35</f>
        <v>93</v>
      </c>
      <c r="I31" s="30" t="n">
        <f aca="false">H35</f>
        <v>49</v>
      </c>
      <c r="J31" s="30" t="n">
        <f aca="false">I35</f>
        <v>47</v>
      </c>
      <c r="K31" s="30" t="n">
        <f aca="false">J35</f>
        <v>50</v>
      </c>
      <c r="L31" s="30" t="n">
        <f aca="false">K35</f>
        <v>55</v>
      </c>
      <c r="M31" s="30" t="n">
        <f aca="false">L35</f>
        <v>59</v>
      </c>
      <c r="N31" s="30" t="n">
        <f aca="false">M35</f>
        <v>63</v>
      </c>
    </row>
    <row r="32" customFormat="false" ht="15" hidden="false" customHeight="false" outlineLevel="0" collapsed="false">
      <c r="A32" s="16" t="str">
        <f aca="false">$A$30</f>
        <v>Titanium</v>
      </c>
      <c r="B32" s="8" t="s">
        <v>117</v>
      </c>
      <c r="C32" s="30" t="n">
        <f aca="false">SUMIFS(Orders!$E$2:$E$2000,Orders!$C$2:$C$2000,$A30,Orders!$H$2:$H$2000,C$4)</f>
        <v>20</v>
      </c>
      <c r="D32" s="30" t="n">
        <f aca="false">SUMIFS(Orders!$E$2:$E$2000,Orders!$C$2:$C$2000,$A30,Orders!$H$2:$H$2000,D$4)</f>
        <v>23</v>
      </c>
      <c r="E32" s="30" t="n">
        <f aca="false">SUMIFS(Orders!$E$2:$E$2000,Orders!$C$2:$C$2000,$A30,Orders!$H$2:$H$2000,E$4)</f>
        <v>21</v>
      </c>
      <c r="F32" s="30" t="n">
        <f aca="false">SUMIFS(Orders!$E$2:$E$2000,Orders!$C$2:$C$2000,$A30,Orders!$H$2:$H$2000,F$4)</f>
        <v>0</v>
      </c>
      <c r="G32" s="30" t="n">
        <f aca="false">SUMIFS(Orders!$E$2:$E$2000,Orders!$C$2:$C$2000,$A30,Orders!$H$2:$H$2000,G$4)</f>
        <v>0</v>
      </c>
      <c r="H32" s="30" t="n">
        <f aca="false">SUMIFS(Orders!$E$2:$E$2000,Orders!$C$2:$C$2000,$A30,Orders!$H$2:$H$2000,H$4)</f>
        <v>0</v>
      </c>
      <c r="I32" s="30" t="n">
        <f aca="false">SUMIFS(Orders!$E$2:$E$2000,Orders!$C$2:$C$2000,$A30,Orders!$H$2:$H$2000,I$4)</f>
        <v>0</v>
      </c>
      <c r="J32" s="30" t="n">
        <f aca="false">SUMIFS(Orders!$E$2:$E$2000,Orders!$C$2:$C$2000,$A30,Orders!$H$2:$H$2000,J$4)</f>
        <v>0</v>
      </c>
      <c r="K32" s="30" t="n">
        <f aca="false">SUMIFS(Orders!$E$2:$E$2000,Orders!$C$2:$C$2000,$A30,Orders!$H$2:$H$2000,K$4)</f>
        <v>0</v>
      </c>
      <c r="L32" s="30" t="n">
        <f aca="false">SUMIFS(Orders!$E$2:$E$2000,Orders!$C$2:$C$2000,$A30,Orders!$H$2:$H$2000,L$4)</f>
        <v>0</v>
      </c>
      <c r="M32" s="30" t="n">
        <f aca="false">SUMIFS(Orders!$E$2:$E$2000,Orders!$C$2:$C$2000,$A30,Orders!$H$2:$H$2000,M$4)</f>
        <v>0</v>
      </c>
      <c r="N32" s="30" t="n">
        <f aca="false">SUMIFS(Orders!$E$2:$E$2000,Orders!$C$2:$C$2000,$A30,Orders!$H$2:$H$2000,N$4)</f>
        <v>0</v>
      </c>
    </row>
    <row r="33" customFormat="false" ht="15" hidden="false" customHeight="false" outlineLevel="0" collapsed="false">
      <c r="A33" s="16" t="str">
        <f aca="false">$A$30</f>
        <v>Titanium</v>
      </c>
      <c r="B33" s="8" t="s">
        <v>118</v>
      </c>
      <c r="C33" s="31" t="n">
        <f aca="false">IF(C$3&lt;=$F$30,0,MAX(0,ROUNDUP(C37-(C31+C32-C34),0)))</f>
        <v>0</v>
      </c>
      <c r="D33" s="31" t="n">
        <f aca="false">IF(D$3&lt;=$F$30,0,MAX(0,ROUNDUP(D37-(D31+D32-D34),0)))</f>
        <v>0</v>
      </c>
      <c r="E33" s="31" t="n">
        <f aca="false">IF(E$3&lt;=$F$30,0,MAX(0,ROUNDUP(E37-(E31+E32-E34),0)))</f>
        <v>0</v>
      </c>
      <c r="F33" s="30" t="n">
        <f aca="false">IF(F$3&lt;=$F$30,0,MAX(0,ROUNDUP(F37-(F31+F32-F34),0)))</f>
        <v>78</v>
      </c>
      <c r="G33" s="30" t="n">
        <f aca="false">IF(G$3&lt;=$F$30,0,MAX(0,ROUNDUP(G37-(G31+G32-G34),0)))</f>
        <v>16</v>
      </c>
      <c r="H33" s="30" t="n">
        <f aca="false">IF(H$3&lt;=$F$30,0,MAX(0,ROUNDUP(H37-(H31+H32-H34),0)))</f>
        <v>15</v>
      </c>
      <c r="I33" s="30" t="n">
        <f aca="false">IF(I$3&lt;=$F$30,0,MAX(0,ROUNDUP(I37-(I31+I32-I34),0)))</f>
        <v>16</v>
      </c>
      <c r="J33" s="30" t="n">
        <f aca="false">IF(J$3&lt;=$F$30,0,MAX(0,ROUNDUP(J37-(J31+J32-J34),0)))</f>
        <v>19</v>
      </c>
      <c r="K33" s="30" t="n">
        <f aca="false">IF(K$3&lt;=$F$30,0,MAX(0,ROUNDUP(K37-(K31+K32-K34),0)))</f>
        <v>20</v>
      </c>
      <c r="L33" s="30" t="n">
        <f aca="false">IF(L$3&lt;=$F$30,0,MAX(0,ROUNDUP(L37-(L31+L32-L34),0)))</f>
        <v>20</v>
      </c>
      <c r="M33" s="30" t="n">
        <f aca="false">IF(M$3&lt;=$F$30,0,MAX(0,ROUNDUP(M37-(M31+M32-M34),0)))</f>
        <v>23</v>
      </c>
      <c r="N33" s="30" t="n">
        <f aca="false">IF(N$3&lt;=$F$30,0,MAX(0,ROUNDUP(N37-(N31+N32-N34),0)))</f>
        <v>21</v>
      </c>
    </row>
    <row r="34" customFormat="false" ht="15" hidden="false" customHeight="false" outlineLevel="0" collapsed="false">
      <c r="A34" s="16" t="str">
        <f aca="false">$A$30</f>
        <v>Titanium</v>
      </c>
      <c r="B34" s="8" t="s">
        <v>119</v>
      </c>
      <c r="C34" s="30" t="n">
        <f aca="false">IF(COUNTIFS(Sales!$B$2:$B$2000,$A30,Sales!$C$2:$C$2000,C$4,Sales!$E$2:$E$2000,"Actual")&gt;0,SUMIFS(Sales!$D$2:$D$2000,Sales!$B$2:$B$2000,$A30,Sales!$C$2:$C$2000,C$4,Sales!$E$2:$E$2000,"Actual"),SUMIFS(Sales!$D$2:$D$2000,Sales!$B$2:$B$2000,$A30,Sales!$C$2:$C$2000,C$4,Sales!$E$2:$E$2000,"Forecast"))</f>
        <v>20</v>
      </c>
      <c r="D34" s="30" t="n">
        <f aca="false">IF(COUNTIFS(Sales!$B$2:$B$2000,$A30,Sales!$C$2:$C$2000,D$4,Sales!$E$2:$E$2000,"Actual")&gt;0,SUMIFS(Sales!$D$2:$D$2000,Sales!$B$2:$B$2000,$A30,Sales!$C$2:$C$2000,D$4,Sales!$E$2:$E$2000,"Actual"),SUMIFS(Sales!$D$2:$D$2000,Sales!$B$2:$B$2000,$A30,Sales!$C$2:$C$2000,D$4,Sales!$E$2:$E$2000,"Forecast"))</f>
        <v>23</v>
      </c>
      <c r="E34" s="30" t="n">
        <f aca="false">IF(COUNTIFS(Sales!$B$2:$B$2000,$A30,Sales!$C$2:$C$2000,E$4,Sales!$E$2:$E$2000,"Actual")&gt;0,SUMIFS(Sales!$D$2:$D$2000,Sales!$B$2:$B$2000,$A30,Sales!$C$2:$C$2000,E$4,Sales!$E$2:$E$2000,"Actual"),SUMIFS(Sales!$D$2:$D$2000,Sales!$B$2:$B$2000,$A30,Sales!$C$2:$C$2000,E$4,Sales!$E$2:$E$2000,"Forecast"))</f>
        <v>21</v>
      </c>
      <c r="F34" s="30" t="n">
        <f aca="false">IF(COUNTIFS(Sales!$B$2:$B$2000,$A30,Sales!$C$2:$C$2000,F$4,Sales!$E$2:$E$2000,"Actual")&gt;0,SUMIFS(Sales!$D$2:$D$2000,Sales!$B$2:$B$2000,$A30,Sales!$C$2:$C$2000,F$4,Sales!$E$2:$E$2000,"Actual"),SUMIFS(Sales!$D$2:$D$2000,Sales!$B$2:$B$2000,$A30,Sales!$C$2:$C$2000,F$4,Sales!$E$2:$E$2000,"Forecast"))</f>
        <v>24</v>
      </c>
      <c r="G34" s="30" t="n">
        <f aca="false">IF(COUNTIFS(Sales!$B$2:$B$2000,$A30,Sales!$C$2:$C$2000,G$4,Sales!$E$2:$E$2000,"Actual")&gt;0,SUMIFS(Sales!$D$2:$D$2000,Sales!$B$2:$B$2000,$A30,Sales!$C$2:$C$2000,G$4,Sales!$E$2:$E$2000,"Actual"),SUMIFS(Sales!$D$2:$D$2000,Sales!$B$2:$B$2000,$A30,Sales!$C$2:$C$2000,G$4,Sales!$E$2:$E$2000,"Forecast"))</f>
        <v>22</v>
      </c>
      <c r="H34" s="30" t="n">
        <f aca="false">IF(COUNTIFS(Sales!$B$2:$B$2000,$A30,Sales!$C$2:$C$2000,H$4,Sales!$E$2:$E$2000,"Actual")&gt;0,SUMIFS(Sales!$D$2:$D$2000,Sales!$B$2:$B$2000,$A30,Sales!$C$2:$C$2000,H$4,Sales!$E$2:$E$2000,"Actual"),SUMIFS(Sales!$D$2:$D$2000,Sales!$B$2:$B$2000,$A30,Sales!$C$2:$C$2000,H$4,Sales!$E$2:$E$2000,"Forecast"))</f>
        <v>59</v>
      </c>
      <c r="I34" s="30" t="n">
        <f aca="false">IF(COUNTIFS(Sales!$B$2:$B$2000,$A30,Sales!$C$2:$C$2000,I$4,Sales!$E$2:$E$2000,"Actual")&gt;0,SUMIFS(Sales!$D$2:$D$2000,Sales!$B$2:$B$2000,$A30,Sales!$C$2:$C$2000,I$4,Sales!$E$2:$E$2000,"Actual"),SUMIFS(Sales!$D$2:$D$2000,Sales!$B$2:$B$2000,$A30,Sales!$C$2:$C$2000,I$4,Sales!$E$2:$E$2000,"Forecast"))</f>
        <v>18</v>
      </c>
      <c r="J34" s="30" t="n">
        <f aca="false">IF(COUNTIFS(Sales!$B$2:$B$2000,$A30,Sales!$C$2:$C$2000,J$4,Sales!$E$2:$E$2000,"Actual")&gt;0,SUMIFS(Sales!$D$2:$D$2000,Sales!$B$2:$B$2000,$A30,Sales!$C$2:$C$2000,J$4,Sales!$E$2:$E$2000,"Actual"),SUMIFS(Sales!$D$2:$D$2000,Sales!$B$2:$B$2000,$A30,Sales!$C$2:$C$2000,J$4,Sales!$E$2:$E$2000,"Forecast"))</f>
        <v>16</v>
      </c>
      <c r="K34" s="30" t="n">
        <f aca="false">IF(COUNTIFS(Sales!$B$2:$B$2000,$A30,Sales!$C$2:$C$2000,K$4,Sales!$E$2:$E$2000,"Actual")&gt;0,SUMIFS(Sales!$D$2:$D$2000,Sales!$B$2:$B$2000,$A30,Sales!$C$2:$C$2000,K$4,Sales!$E$2:$E$2000,"Actual"),SUMIFS(Sales!$D$2:$D$2000,Sales!$B$2:$B$2000,$A30,Sales!$C$2:$C$2000,K$4,Sales!$E$2:$E$2000,"Forecast"))</f>
        <v>15</v>
      </c>
      <c r="L34" s="30" t="n">
        <f aca="false">IF(COUNTIFS(Sales!$B$2:$B$2000,$A30,Sales!$C$2:$C$2000,L$4,Sales!$E$2:$E$2000,"Actual")&gt;0,SUMIFS(Sales!$D$2:$D$2000,Sales!$B$2:$B$2000,$A30,Sales!$C$2:$C$2000,L$4,Sales!$E$2:$E$2000,"Actual"),SUMIFS(Sales!$D$2:$D$2000,Sales!$B$2:$B$2000,$A30,Sales!$C$2:$C$2000,L$4,Sales!$E$2:$E$2000,"Forecast"))</f>
        <v>16</v>
      </c>
      <c r="M34" s="30" t="n">
        <f aca="false">IF(COUNTIFS(Sales!$B$2:$B$2000,$A30,Sales!$C$2:$C$2000,M$4,Sales!$E$2:$E$2000,"Actual")&gt;0,SUMIFS(Sales!$D$2:$D$2000,Sales!$B$2:$B$2000,$A30,Sales!$C$2:$C$2000,M$4,Sales!$E$2:$E$2000,"Actual"),SUMIFS(Sales!$D$2:$D$2000,Sales!$B$2:$B$2000,$A30,Sales!$C$2:$C$2000,M$4,Sales!$E$2:$E$2000,"Forecast"))</f>
        <v>19</v>
      </c>
      <c r="N34" s="30" t="n">
        <f aca="false">IF(COUNTIFS(Sales!$B$2:$B$2000,$A30,Sales!$C$2:$C$2000,N$4,Sales!$E$2:$E$2000,"Actual")&gt;0,SUMIFS(Sales!$D$2:$D$2000,Sales!$B$2:$B$2000,$A30,Sales!$C$2:$C$2000,N$4,Sales!$E$2:$E$2000,"Actual"),SUMIFS(Sales!$D$2:$D$2000,Sales!$B$2:$B$2000,$A30,Sales!$C$2:$C$2000,N$4,Sales!$E$2:$E$2000,"Forecast"))</f>
        <v>20</v>
      </c>
      <c r="O34" s="32" t="n">
        <f aca="false">IF(COUNTIFS(Sales!$B$2:$B$2000,$A30,Sales!$C$2:$C$2000,O$4,Sales!$E$2:$E$2000,"Actual")&gt;0,SUMIFS(Sales!$D$2:$D$2000,Sales!$B$2:$B$2000,$A30,Sales!$C$2:$C$2000,O$4,Sales!$E$2:$E$2000,"Actual"),SUMIFS(Sales!$D$2:$D$2000,Sales!$B$2:$B$2000,$A30,Sales!$C$2:$C$2000,O$4,Sales!$E$2:$E$2000,"Forecast"))</f>
        <v>20</v>
      </c>
      <c r="P34" s="32" t="n">
        <f aca="false">IF(COUNTIFS(Sales!$B$2:$B$2000,$A30,Sales!$C$2:$C$2000,P$4,Sales!$E$2:$E$2000,"Actual")&gt;0,SUMIFS(Sales!$D$2:$D$2000,Sales!$B$2:$B$2000,$A30,Sales!$C$2:$C$2000,P$4,Sales!$E$2:$E$2000,"Actual"),SUMIFS(Sales!$D$2:$D$2000,Sales!$B$2:$B$2000,$A30,Sales!$C$2:$C$2000,P$4,Sales!$E$2:$E$2000,"Forecast"))</f>
        <v>23</v>
      </c>
      <c r="Q34" s="32" t="n">
        <f aca="false">IF(COUNTIFS(Sales!$B$2:$B$2000,$A30,Sales!$C$2:$C$2000,Q$4,Sales!$E$2:$E$2000,"Actual")&gt;0,SUMIFS(Sales!$D$2:$D$2000,Sales!$B$2:$B$2000,$A30,Sales!$C$2:$C$2000,Q$4,Sales!$E$2:$E$2000,"Actual"),SUMIFS(Sales!$D$2:$D$2000,Sales!$B$2:$B$2000,$A30,Sales!$C$2:$C$2000,Q$4,Sales!$E$2:$E$2000,"Forecast"))</f>
        <v>21</v>
      </c>
    </row>
    <row r="35" customFormat="false" ht="15" hidden="false" customHeight="false" outlineLevel="0" collapsed="false">
      <c r="A35" s="16" t="str">
        <f aca="false">$A$30</f>
        <v>Titanium</v>
      </c>
      <c r="B35" s="5" t="s">
        <v>58</v>
      </c>
      <c r="C35" s="33" t="n">
        <f aca="false">C31+C32+C33-C34</f>
        <v>45</v>
      </c>
      <c r="D35" s="33" t="n">
        <f aca="false">D31+D32+D33-D34</f>
        <v>45</v>
      </c>
      <c r="E35" s="33" t="n">
        <f aca="false">E31+E32+E33-E34</f>
        <v>45</v>
      </c>
      <c r="F35" s="33" t="n">
        <f aca="false">F31+F32+F33-F34</f>
        <v>99</v>
      </c>
      <c r="G35" s="33" t="n">
        <f aca="false">G31+G32+G33-G34</f>
        <v>93</v>
      </c>
      <c r="H35" s="33" t="n">
        <f aca="false">H31+H32+H33-H34</f>
        <v>49</v>
      </c>
      <c r="I35" s="33" t="n">
        <f aca="false">I31+I32+I33-I34</f>
        <v>47</v>
      </c>
      <c r="J35" s="33" t="n">
        <f aca="false">J31+J32+J33-J34</f>
        <v>50</v>
      </c>
      <c r="K35" s="33" t="n">
        <f aca="false">K31+K32+K33-K34</f>
        <v>55</v>
      </c>
      <c r="L35" s="33" t="n">
        <f aca="false">L31+L32+L33-L34</f>
        <v>59</v>
      </c>
      <c r="M35" s="33" t="n">
        <f aca="false">M31+M32+M33-M34</f>
        <v>63</v>
      </c>
      <c r="N35" s="33" t="n">
        <f aca="false">N31+N32+N33-N34</f>
        <v>64</v>
      </c>
    </row>
    <row r="36" customFormat="false" ht="15" hidden="false" customHeight="false" outlineLevel="0" collapsed="false">
      <c r="A36" s="16" t="str">
        <f aca="false">$A$30</f>
        <v>Titanium</v>
      </c>
      <c r="B36" s="8" t="s">
        <v>120</v>
      </c>
      <c r="C36" s="10" t="n">
        <f aca="false">AVERAGE(D34:F34)</f>
        <v>22.6666666666667</v>
      </c>
      <c r="D36" s="10" t="n">
        <f aca="false">AVERAGE(E34:G34)</f>
        <v>22.3333333333333</v>
      </c>
      <c r="E36" s="10" t="n">
        <f aca="false">AVERAGE(F34:H34)</f>
        <v>35</v>
      </c>
      <c r="F36" s="10" t="n">
        <f aca="false">AVERAGE(G34:I34)</f>
        <v>33</v>
      </c>
      <c r="G36" s="10" t="n">
        <f aca="false">AVERAGE(H34:J34)</f>
        <v>31</v>
      </c>
      <c r="H36" s="10" t="n">
        <f aca="false">AVERAGE(I34:K34)</f>
        <v>16.3333333333333</v>
      </c>
      <c r="I36" s="10" t="n">
        <f aca="false">AVERAGE(J34:L34)</f>
        <v>15.6666666666667</v>
      </c>
      <c r="J36" s="10" t="n">
        <f aca="false">AVERAGE(K34:M34)</f>
        <v>16.6666666666667</v>
      </c>
      <c r="K36" s="10" t="n">
        <f aca="false">AVERAGE(L34:N34)</f>
        <v>18.3333333333333</v>
      </c>
      <c r="L36" s="10" t="n">
        <f aca="false">AVERAGE(M34:O34)</f>
        <v>19.6666666666667</v>
      </c>
      <c r="M36" s="10" t="n">
        <f aca="false">AVERAGE(N34:P34)</f>
        <v>21</v>
      </c>
      <c r="N36" s="10" t="n">
        <f aca="false">AVERAGE(O34:Q34)</f>
        <v>21.3333333333333</v>
      </c>
    </row>
    <row r="37" customFormat="false" ht="15" hidden="false" customHeight="false" outlineLevel="0" collapsed="false">
      <c r="A37" s="16" t="str">
        <f aca="false">$A$30</f>
        <v>Titanium</v>
      </c>
      <c r="B37" s="8" t="s">
        <v>121</v>
      </c>
      <c r="C37" s="10" t="n">
        <f aca="false">$D$30*C36</f>
        <v>68</v>
      </c>
      <c r="D37" s="10" t="n">
        <f aca="false">$D$30*D36</f>
        <v>67</v>
      </c>
      <c r="E37" s="10" t="n">
        <f aca="false">$D$30*E36</f>
        <v>105</v>
      </c>
      <c r="F37" s="10" t="n">
        <f aca="false">$D$30*F36</f>
        <v>99</v>
      </c>
      <c r="G37" s="10" t="n">
        <f aca="false">$D$30*G36</f>
        <v>93</v>
      </c>
      <c r="H37" s="10" t="n">
        <f aca="false">$D$30*H36</f>
        <v>49</v>
      </c>
      <c r="I37" s="10" t="n">
        <f aca="false">$D$30*I36</f>
        <v>47</v>
      </c>
      <c r="J37" s="10" t="n">
        <f aca="false">$D$30*J36</f>
        <v>50</v>
      </c>
      <c r="K37" s="10" t="n">
        <f aca="false">$D$30*K36</f>
        <v>55</v>
      </c>
      <c r="L37" s="10" t="n">
        <f aca="false">$D$30*L36</f>
        <v>59</v>
      </c>
      <c r="M37" s="10" t="n">
        <f aca="false">$D$30*M36</f>
        <v>63</v>
      </c>
      <c r="N37" s="10" t="n">
        <f aca="false">$D$30*N36</f>
        <v>64</v>
      </c>
    </row>
    <row r="38" customFormat="false" ht="15" hidden="false" customHeight="false" outlineLevel="0" collapsed="false">
      <c r="A38" s="16" t="str">
        <f aca="false">$A$30</f>
        <v>Titanium</v>
      </c>
      <c r="B38" s="5" t="s">
        <v>59</v>
      </c>
      <c r="C38" s="10" t="n">
        <f aca="false">IFERROR(C35/C36,"")</f>
        <v>1.98529411764706</v>
      </c>
      <c r="D38" s="10" t="n">
        <f aca="false">IFERROR(D35/D36,"")</f>
        <v>2.01492537313433</v>
      </c>
      <c r="E38" s="10" t="n">
        <f aca="false">IFERROR(E35/E36,"")</f>
        <v>1.28571428571429</v>
      </c>
      <c r="F38" s="10" t="n">
        <f aca="false">IFERROR(F35/F36,"")</f>
        <v>3</v>
      </c>
      <c r="G38" s="10" t="n">
        <f aca="false">IFERROR(G35/G36,"")</f>
        <v>3</v>
      </c>
      <c r="H38" s="10" t="n">
        <f aca="false">IFERROR(H35/H36,"")</f>
        <v>3</v>
      </c>
      <c r="I38" s="10" t="n">
        <f aca="false">IFERROR(I35/I36,"")</f>
        <v>3</v>
      </c>
      <c r="J38" s="10" t="n">
        <f aca="false">IFERROR(J35/J36,"")</f>
        <v>3</v>
      </c>
      <c r="K38" s="10" t="n">
        <f aca="false">IFERROR(K35/K36,"")</f>
        <v>3</v>
      </c>
      <c r="L38" s="10" t="n">
        <f aca="false">IFERROR(L35/L36,"")</f>
        <v>3</v>
      </c>
      <c r="M38" s="10" t="n">
        <f aca="false">IFERROR(M35/M36,"")</f>
        <v>3</v>
      </c>
      <c r="N38" s="10" t="n">
        <f aca="false">IFERROR(N35/N36,"")</f>
        <v>3</v>
      </c>
    </row>
    <row r="39" customFormat="false" ht="15" hidden="false" customHeight="false" outlineLevel="0" collapsed="false">
      <c r="A39" s="16" t="str">
        <f aca="false">$A$30</f>
        <v>Titanium</v>
      </c>
      <c r="B39" s="5" t="s">
        <v>122</v>
      </c>
      <c r="C39" s="33" t="n">
        <f aca="false">IF(C$3+$F$30&lt;=12,INDEX($C$33:$N$33,C$3+$F$30),"")</f>
        <v>78</v>
      </c>
      <c r="D39" s="33" t="n">
        <f aca="false">IF(D$3+$F$30&lt;=12,INDEX($C$33:$N$33,D$3+$F$30),"")</f>
        <v>16</v>
      </c>
      <c r="E39" s="33" t="n">
        <f aca="false">IF(E$3+$F$30&lt;=12,INDEX($C$33:$N$33,E$3+$F$30),"")</f>
        <v>15</v>
      </c>
      <c r="F39" s="33" t="n">
        <f aca="false">IF(F$3+$F$30&lt;=12,INDEX($C$33:$N$33,F$3+$F$30),"")</f>
        <v>16</v>
      </c>
      <c r="G39" s="33" t="n">
        <f aca="false">IF(G$3+$F$30&lt;=12,INDEX($C$33:$N$33,G$3+$F$30),"")</f>
        <v>19</v>
      </c>
      <c r="H39" s="33" t="n">
        <f aca="false">IF(H$3+$F$30&lt;=12,INDEX($C$33:$N$33,H$3+$F$30),"")</f>
        <v>20</v>
      </c>
      <c r="I39" s="33" t="n">
        <f aca="false">IF(I$3+$F$30&lt;=12,INDEX($C$33:$N$33,I$3+$F$30),"")</f>
        <v>20</v>
      </c>
      <c r="J39" s="33" t="n">
        <f aca="false">IF(J$3+$F$30&lt;=12,INDEX($C$33:$N$33,J$3+$F$30),"")</f>
        <v>23</v>
      </c>
      <c r="K39" s="33" t="n">
        <f aca="false">IF(K$3+$F$30&lt;=12,INDEX($C$33:$N$33,K$3+$F$30),"")</f>
        <v>21</v>
      </c>
      <c r="L39" s="33" t="str">
        <f aca="false">IF(L$3+$F$30&lt;=12,INDEX($C$33:$N$33,L$3+$F$30),"")</f>
        <v/>
      </c>
      <c r="M39" s="33" t="str">
        <f aca="false">IF(M$3+$F$30&lt;=12,INDEX($C$33:$N$33,M$3+$F$30),"")</f>
        <v/>
      </c>
      <c r="N39" s="33" t="str">
        <f aca="false">IF(N$3+$F$30&lt;=12,INDEX($C$33:$N$33,N$3+$F$30),"")</f>
        <v/>
      </c>
    </row>
    <row r="40" customFormat="false" ht="15" hidden="false" customHeight="false" outlineLevel="0" collapsed="false">
      <c r="A40" s="16" t="str">
        <f aca="false">$A$30</f>
        <v>Titanium</v>
      </c>
      <c r="B40" s="8" t="s">
        <v>123</v>
      </c>
      <c r="C40" s="30" t="n">
        <f aca="false">SUMIFS(Orders!$E$2:$E$2000,Orders!$C$2:$C$2000,$A30,Orders!$D$2:$D$2000,C$4)</f>
        <v>0</v>
      </c>
      <c r="D40" s="30" t="n">
        <f aca="false">SUMIFS(Orders!$E$2:$E$2000,Orders!$C$2:$C$2000,$A30,Orders!$D$2:$D$2000,D$4)</f>
        <v>0</v>
      </c>
      <c r="E40" s="30" t="n">
        <f aca="false">SUMIFS(Orders!$E$2:$E$2000,Orders!$C$2:$C$2000,$A30,Orders!$D$2:$D$2000,E$4)</f>
        <v>0</v>
      </c>
      <c r="F40" s="30" t="n">
        <f aca="false">SUMIFS(Orders!$E$2:$E$2000,Orders!$C$2:$C$2000,$A30,Orders!$D$2:$D$2000,F$4)</f>
        <v>0</v>
      </c>
      <c r="G40" s="30" t="n">
        <f aca="false">SUMIFS(Orders!$E$2:$E$2000,Orders!$C$2:$C$2000,$A30,Orders!$D$2:$D$2000,G$4)</f>
        <v>0</v>
      </c>
      <c r="H40" s="30" t="n">
        <f aca="false">SUMIFS(Orders!$E$2:$E$2000,Orders!$C$2:$C$2000,$A30,Orders!$D$2:$D$2000,H$4)</f>
        <v>0</v>
      </c>
      <c r="I40" s="30" t="n">
        <f aca="false">SUMIFS(Orders!$E$2:$E$2000,Orders!$C$2:$C$2000,$A30,Orders!$D$2:$D$2000,I$4)</f>
        <v>0</v>
      </c>
      <c r="J40" s="30" t="n">
        <f aca="false">SUMIFS(Orders!$E$2:$E$2000,Orders!$C$2:$C$2000,$A30,Orders!$D$2:$D$2000,J$4)</f>
        <v>0</v>
      </c>
      <c r="K40" s="30" t="n">
        <f aca="false">SUMIFS(Orders!$E$2:$E$2000,Orders!$C$2:$C$2000,$A30,Orders!$D$2:$D$2000,K$4)</f>
        <v>0</v>
      </c>
      <c r="L40" s="30" t="n">
        <f aca="false">SUMIFS(Orders!$E$2:$E$2000,Orders!$C$2:$C$2000,$A30,Orders!$D$2:$D$2000,L$4)</f>
        <v>0</v>
      </c>
      <c r="M40" s="30" t="n">
        <f aca="false">SUMIFS(Orders!$E$2:$E$2000,Orders!$C$2:$C$2000,$A30,Orders!$D$2:$D$2000,M$4)</f>
        <v>0</v>
      </c>
      <c r="N40" s="30" t="n">
        <f aca="false">SUMIFS(Orders!$E$2:$E$2000,Orders!$C$2:$C$2000,$A30,Orders!$D$2:$D$2000,N$4)</f>
        <v>0</v>
      </c>
    </row>
    <row r="42" customFormat="false" ht="15" hidden="false" customHeight="false" outlineLevel="0" collapsed="false">
      <c r="A42" s="17" t="str">
        <f aca="false">INDEX(Settings!$B$2:$B$100,4)</f>
        <v>Big Bend 2-door</v>
      </c>
      <c r="B42" s="17" t="str">
        <f aca="false">INDEX(Settings!$A$2:$A$100,4)&amp;" - "&amp;A42</f>
        <v>Bronco - Big Bend 2-door</v>
      </c>
      <c r="C42" s="17" t="s">
        <v>43</v>
      </c>
      <c r="D42" s="17" t="n">
        <f aca="false">INDEX(Settings!$C$2:$C$100,MATCH($A42,Settings!$B$2:$B$100,0))</f>
        <v>2</v>
      </c>
      <c r="E42" s="17" t="s">
        <v>115</v>
      </c>
      <c r="F42" s="17" t="n">
        <f aca="false">INDEX(Settings!$D$2:$D$100,MATCH($A42,Settings!$B$2:$B$100,0))</f>
        <v>3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</row>
    <row r="43" customFormat="false" ht="15" hidden="false" customHeight="false" outlineLevel="0" collapsed="false">
      <c r="A43" s="16" t="str">
        <f aca="false">$A$42</f>
        <v>Big Bend 2-door</v>
      </c>
      <c r="B43" s="8" t="s">
        <v>116</v>
      </c>
      <c r="C43" s="30" t="n">
        <f aca="false">SUMIFS('Opening Stock'!$D$2:$D$1000,'Opening Stock'!$B$2:$B$1000,$A42)</f>
        <v>14</v>
      </c>
      <c r="D43" s="30" t="n">
        <f aca="false">C47</f>
        <v>14</v>
      </c>
      <c r="E43" s="30" t="n">
        <f aca="false">D47</f>
        <v>14</v>
      </c>
      <c r="F43" s="30" t="n">
        <f aca="false">E47</f>
        <v>14</v>
      </c>
      <c r="G43" s="30" t="n">
        <f aca="false">F47</f>
        <v>12</v>
      </c>
      <c r="H43" s="30" t="n">
        <f aca="false">G47</f>
        <v>11</v>
      </c>
      <c r="I43" s="30" t="n">
        <f aca="false">H47</f>
        <v>10</v>
      </c>
      <c r="J43" s="30" t="n">
        <f aca="false">I47</f>
        <v>10</v>
      </c>
      <c r="K43" s="30" t="n">
        <f aca="false">J47</f>
        <v>10</v>
      </c>
      <c r="L43" s="30" t="n">
        <f aca="false">K47</f>
        <v>12</v>
      </c>
      <c r="M43" s="30" t="n">
        <f aca="false">L47</f>
        <v>12</v>
      </c>
      <c r="N43" s="30" t="n">
        <f aca="false">M47</f>
        <v>13</v>
      </c>
    </row>
    <row r="44" customFormat="false" ht="15" hidden="false" customHeight="false" outlineLevel="0" collapsed="false">
      <c r="A44" s="16" t="str">
        <f aca="false">$A$42</f>
        <v>Big Bend 2-door</v>
      </c>
      <c r="B44" s="8" t="s">
        <v>117</v>
      </c>
      <c r="C44" s="30" t="n">
        <f aca="false">SUMIFS(Orders!$E$2:$E$2000,Orders!$C$2:$C$2000,$A42,Orders!$H$2:$H$2000,C$4)</f>
        <v>6</v>
      </c>
      <c r="D44" s="30" t="n">
        <f aca="false">SUMIFS(Orders!$E$2:$E$2000,Orders!$C$2:$C$2000,$A42,Orders!$H$2:$H$2000,D$4)</f>
        <v>7</v>
      </c>
      <c r="E44" s="30" t="n">
        <f aca="false">SUMIFS(Orders!$E$2:$E$2000,Orders!$C$2:$C$2000,$A42,Orders!$H$2:$H$2000,E$4)</f>
        <v>6</v>
      </c>
      <c r="F44" s="30" t="n">
        <f aca="false">SUMIFS(Orders!$E$2:$E$2000,Orders!$C$2:$C$2000,$A42,Orders!$H$2:$H$2000,F$4)</f>
        <v>0</v>
      </c>
      <c r="G44" s="30" t="n">
        <f aca="false">SUMIFS(Orders!$E$2:$E$2000,Orders!$C$2:$C$2000,$A42,Orders!$H$2:$H$2000,G$4)</f>
        <v>0</v>
      </c>
      <c r="H44" s="30" t="n">
        <f aca="false">SUMIFS(Orders!$E$2:$E$2000,Orders!$C$2:$C$2000,$A42,Orders!$H$2:$H$2000,H$4)</f>
        <v>0</v>
      </c>
      <c r="I44" s="30" t="n">
        <f aca="false">SUMIFS(Orders!$E$2:$E$2000,Orders!$C$2:$C$2000,$A42,Orders!$H$2:$H$2000,I$4)</f>
        <v>0</v>
      </c>
      <c r="J44" s="30" t="n">
        <f aca="false">SUMIFS(Orders!$E$2:$E$2000,Orders!$C$2:$C$2000,$A42,Orders!$H$2:$H$2000,J$4)</f>
        <v>0</v>
      </c>
      <c r="K44" s="30" t="n">
        <f aca="false">SUMIFS(Orders!$E$2:$E$2000,Orders!$C$2:$C$2000,$A42,Orders!$H$2:$H$2000,K$4)</f>
        <v>0</v>
      </c>
      <c r="L44" s="30" t="n">
        <f aca="false">SUMIFS(Orders!$E$2:$E$2000,Orders!$C$2:$C$2000,$A42,Orders!$H$2:$H$2000,L$4)</f>
        <v>0</v>
      </c>
      <c r="M44" s="30" t="n">
        <f aca="false">SUMIFS(Orders!$E$2:$E$2000,Orders!$C$2:$C$2000,$A42,Orders!$H$2:$H$2000,M$4)</f>
        <v>0</v>
      </c>
      <c r="N44" s="30" t="n">
        <f aca="false">SUMIFS(Orders!$E$2:$E$2000,Orders!$C$2:$C$2000,$A42,Orders!$H$2:$H$2000,N$4)</f>
        <v>0</v>
      </c>
    </row>
    <row r="45" customFormat="false" ht="15" hidden="false" customHeight="false" outlineLevel="0" collapsed="false">
      <c r="A45" s="16" t="str">
        <f aca="false">$A$42</f>
        <v>Big Bend 2-door</v>
      </c>
      <c r="B45" s="8" t="s">
        <v>118</v>
      </c>
      <c r="C45" s="31" t="n">
        <f aca="false">IF(C$3&lt;=$F$42,0,MAX(0,ROUNDUP(C49-(C43+C44-C46),0)))</f>
        <v>0</v>
      </c>
      <c r="D45" s="31" t="n">
        <f aca="false">IF(D$3&lt;=$F$42,0,MAX(0,ROUNDUP(D49-(D43+D44-D46),0)))</f>
        <v>0</v>
      </c>
      <c r="E45" s="31" t="n">
        <f aca="false">IF(E$3&lt;=$F$42,0,MAX(0,ROUNDUP(E49-(E43+E44-E46),0)))</f>
        <v>0</v>
      </c>
      <c r="F45" s="30" t="n">
        <f aca="false">IF(F$3&lt;=$F$42,0,MAX(0,ROUNDUP(F49-(F43+F44-F46),0)))</f>
        <v>5</v>
      </c>
      <c r="G45" s="30" t="n">
        <f aca="false">IF(G$3&lt;=$F$42,0,MAX(0,ROUNDUP(G49-(G43+G44-G46),0)))</f>
        <v>6</v>
      </c>
      <c r="H45" s="30" t="n">
        <f aca="false">IF(H$3&lt;=$F$42,0,MAX(0,ROUNDUP(H49-(H43+H44-H46),0)))</f>
        <v>5</v>
      </c>
      <c r="I45" s="30" t="n">
        <f aca="false">IF(I$3&lt;=$F$42,0,MAX(0,ROUNDUP(I49-(I43+I44-I46),0)))</f>
        <v>5</v>
      </c>
      <c r="J45" s="30" t="n">
        <f aca="false">IF(J$3&lt;=$F$42,0,MAX(0,ROUNDUP(J49-(J43+J44-J46),0)))</f>
        <v>5</v>
      </c>
      <c r="K45" s="30" t="n">
        <f aca="false">IF(K$3&lt;=$F$42,0,MAX(0,ROUNDUP(K49-(K43+K44-K46),0)))</f>
        <v>6</v>
      </c>
      <c r="L45" s="30" t="n">
        <f aca="false">IF(L$3&lt;=$F$42,0,MAX(0,ROUNDUP(L49-(L43+L44-L46),0)))</f>
        <v>5</v>
      </c>
      <c r="M45" s="30" t="n">
        <f aca="false">IF(M$3&lt;=$F$42,0,MAX(0,ROUNDUP(M49-(M43+M44-M46),0)))</f>
        <v>7</v>
      </c>
      <c r="N45" s="30" t="n">
        <f aca="false">IF(N$3&lt;=$F$42,0,MAX(0,ROUNDUP(N49-(N43+N44-N46),0)))</f>
        <v>6</v>
      </c>
    </row>
    <row r="46" customFormat="false" ht="15" hidden="false" customHeight="false" outlineLevel="0" collapsed="false">
      <c r="A46" s="16" t="str">
        <f aca="false">$A$42</f>
        <v>Big Bend 2-door</v>
      </c>
      <c r="B46" s="8" t="s">
        <v>119</v>
      </c>
      <c r="C46" s="30" t="n">
        <f aca="false">IF(COUNTIFS(Sales!$B$2:$B$2000,$A42,Sales!$C$2:$C$2000,C$4,Sales!$E$2:$E$2000,"Actual")&gt;0,SUMIFS(Sales!$D$2:$D$2000,Sales!$B$2:$B$2000,$A42,Sales!$C$2:$C$2000,C$4,Sales!$E$2:$E$2000,"Actual"),SUMIFS(Sales!$D$2:$D$2000,Sales!$B$2:$B$2000,$A42,Sales!$C$2:$C$2000,C$4,Sales!$E$2:$E$2000,"Forecast"))</f>
        <v>6</v>
      </c>
      <c r="D46" s="30" t="n">
        <f aca="false">IF(COUNTIFS(Sales!$B$2:$B$2000,$A42,Sales!$C$2:$C$2000,D$4,Sales!$E$2:$E$2000,"Actual")&gt;0,SUMIFS(Sales!$D$2:$D$2000,Sales!$B$2:$B$2000,$A42,Sales!$C$2:$C$2000,D$4,Sales!$E$2:$E$2000,"Actual"),SUMIFS(Sales!$D$2:$D$2000,Sales!$B$2:$B$2000,$A42,Sales!$C$2:$C$2000,D$4,Sales!$E$2:$E$2000,"Forecast"))</f>
        <v>7</v>
      </c>
      <c r="E46" s="30" t="n">
        <f aca="false">IF(COUNTIFS(Sales!$B$2:$B$2000,$A42,Sales!$C$2:$C$2000,E$4,Sales!$E$2:$E$2000,"Actual")&gt;0,SUMIFS(Sales!$D$2:$D$2000,Sales!$B$2:$B$2000,$A42,Sales!$C$2:$C$2000,E$4,Sales!$E$2:$E$2000,"Actual"),SUMIFS(Sales!$D$2:$D$2000,Sales!$B$2:$B$2000,$A42,Sales!$C$2:$C$2000,E$4,Sales!$E$2:$E$2000,"Forecast"))</f>
        <v>6</v>
      </c>
      <c r="F46" s="30" t="n">
        <f aca="false">IF(COUNTIFS(Sales!$B$2:$B$2000,$A42,Sales!$C$2:$C$2000,F$4,Sales!$E$2:$E$2000,"Actual")&gt;0,SUMIFS(Sales!$D$2:$D$2000,Sales!$B$2:$B$2000,$A42,Sales!$C$2:$C$2000,F$4,Sales!$E$2:$E$2000,"Actual"),SUMIFS(Sales!$D$2:$D$2000,Sales!$B$2:$B$2000,$A42,Sales!$C$2:$C$2000,F$4,Sales!$E$2:$E$2000,"Forecast"))</f>
        <v>7</v>
      </c>
      <c r="G46" s="30" t="n">
        <f aca="false">IF(COUNTIFS(Sales!$B$2:$B$2000,$A42,Sales!$C$2:$C$2000,G$4,Sales!$E$2:$E$2000,"Actual")&gt;0,SUMIFS(Sales!$D$2:$D$2000,Sales!$B$2:$B$2000,$A42,Sales!$C$2:$C$2000,G$4,Sales!$E$2:$E$2000,"Actual"),SUMIFS(Sales!$D$2:$D$2000,Sales!$B$2:$B$2000,$A42,Sales!$C$2:$C$2000,G$4,Sales!$E$2:$E$2000,"Forecast"))</f>
        <v>7</v>
      </c>
      <c r="H46" s="30" t="n">
        <f aca="false">IF(COUNTIFS(Sales!$B$2:$B$2000,$A42,Sales!$C$2:$C$2000,H$4,Sales!$E$2:$E$2000,"Actual")&gt;0,SUMIFS(Sales!$D$2:$D$2000,Sales!$B$2:$B$2000,$A42,Sales!$C$2:$C$2000,H$4,Sales!$E$2:$E$2000,"Actual"),SUMIFS(Sales!$D$2:$D$2000,Sales!$B$2:$B$2000,$A42,Sales!$C$2:$C$2000,H$4,Sales!$E$2:$E$2000,"Forecast"))</f>
        <v>6</v>
      </c>
      <c r="I46" s="30" t="n">
        <f aca="false">IF(COUNTIFS(Sales!$B$2:$B$2000,$A42,Sales!$C$2:$C$2000,I$4,Sales!$E$2:$E$2000,"Actual")&gt;0,SUMIFS(Sales!$D$2:$D$2000,Sales!$B$2:$B$2000,$A42,Sales!$C$2:$C$2000,I$4,Sales!$E$2:$E$2000,"Actual"),SUMIFS(Sales!$D$2:$D$2000,Sales!$B$2:$B$2000,$A42,Sales!$C$2:$C$2000,I$4,Sales!$E$2:$E$2000,"Forecast"))</f>
        <v>5</v>
      </c>
      <c r="J46" s="30" t="n">
        <f aca="false">IF(COUNTIFS(Sales!$B$2:$B$2000,$A42,Sales!$C$2:$C$2000,J$4,Sales!$E$2:$E$2000,"Actual")&gt;0,SUMIFS(Sales!$D$2:$D$2000,Sales!$B$2:$B$2000,$A42,Sales!$C$2:$C$2000,J$4,Sales!$E$2:$E$2000,"Actual"),SUMIFS(Sales!$D$2:$D$2000,Sales!$B$2:$B$2000,$A42,Sales!$C$2:$C$2000,J$4,Sales!$E$2:$E$2000,"Forecast"))</f>
        <v>5</v>
      </c>
      <c r="K46" s="30" t="n">
        <f aca="false">IF(COUNTIFS(Sales!$B$2:$B$2000,$A42,Sales!$C$2:$C$2000,K$4,Sales!$E$2:$E$2000,"Actual")&gt;0,SUMIFS(Sales!$D$2:$D$2000,Sales!$B$2:$B$2000,$A42,Sales!$C$2:$C$2000,K$4,Sales!$E$2:$E$2000,"Actual"),SUMIFS(Sales!$D$2:$D$2000,Sales!$B$2:$B$2000,$A42,Sales!$C$2:$C$2000,K$4,Sales!$E$2:$E$2000,"Forecast"))</f>
        <v>4</v>
      </c>
      <c r="L46" s="30" t="n">
        <f aca="false">IF(COUNTIFS(Sales!$B$2:$B$2000,$A42,Sales!$C$2:$C$2000,L$4,Sales!$E$2:$E$2000,"Actual")&gt;0,SUMIFS(Sales!$D$2:$D$2000,Sales!$B$2:$B$2000,$A42,Sales!$C$2:$C$2000,L$4,Sales!$E$2:$E$2000,"Actual"),SUMIFS(Sales!$D$2:$D$2000,Sales!$B$2:$B$2000,$A42,Sales!$C$2:$C$2000,L$4,Sales!$E$2:$E$2000,"Forecast"))</f>
        <v>5</v>
      </c>
      <c r="M46" s="30" t="n">
        <f aca="false">IF(COUNTIFS(Sales!$B$2:$B$2000,$A42,Sales!$C$2:$C$2000,M$4,Sales!$E$2:$E$2000,"Actual")&gt;0,SUMIFS(Sales!$D$2:$D$2000,Sales!$B$2:$B$2000,$A42,Sales!$C$2:$C$2000,M$4,Sales!$E$2:$E$2000,"Actual"),SUMIFS(Sales!$D$2:$D$2000,Sales!$B$2:$B$2000,$A42,Sales!$C$2:$C$2000,M$4,Sales!$E$2:$E$2000,"Forecast"))</f>
        <v>6</v>
      </c>
      <c r="N46" s="30" t="n">
        <f aca="false">IF(COUNTIFS(Sales!$B$2:$B$2000,$A42,Sales!$C$2:$C$2000,N$4,Sales!$E$2:$E$2000,"Actual")&gt;0,SUMIFS(Sales!$D$2:$D$2000,Sales!$B$2:$B$2000,$A42,Sales!$C$2:$C$2000,N$4,Sales!$E$2:$E$2000,"Actual"),SUMIFS(Sales!$D$2:$D$2000,Sales!$B$2:$B$2000,$A42,Sales!$C$2:$C$2000,N$4,Sales!$E$2:$E$2000,"Forecast"))</f>
        <v>6</v>
      </c>
      <c r="O46" s="32" t="n">
        <f aca="false">IF(COUNTIFS(Sales!$B$2:$B$2000,$A42,Sales!$C$2:$C$2000,O$4,Sales!$E$2:$E$2000,"Actual")&gt;0,SUMIFS(Sales!$D$2:$D$2000,Sales!$B$2:$B$2000,$A42,Sales!$C$2:$C$2000,O$4,Sales!$E$2:$E$2000,"Actual"),SUMIFS(Sales!$D$2:$D$2000,Sales!$B$2:$B$2000,$A42,Sales!$C$2:$C$2000,O$4,Sales!$E$2:$E$2000,"Forecast"))</f>
        <v>6</v>
      </c>
      <c r="P46" s="32" t="n">
        <f aca="false">IF(COUNTIFS(Sales!$B$2:$B$2000,$A42,Sales!$C$2:$C$2000,P$4,Sales!$E$2:$E$2000,"Actual")&gt;0,SUMIFS(Sales!$D$2:$D$2000,Sales!$B$2:$B$2000,$A42,Sales!$C$2:$C$2000,P$4,Sales!$E$2:$E$2000,"Actual"),SUMIFS(Sales!$D$2:$D$2000,Sales!$B$2:$B$2000,$A42,Sales!$C$2:$C$2000,P$4,Sales!$E$2:$E$2000,"Forecast"))</f>
        <v>7</v>
      </c>
      <c r="Q46" s="32" t="n">
        <f aca="false">IF(COUNTIFS(Sales!$B$2:$B$2000,$A42,Sales!$C$2:$C$2000,Q$4,Sales!$E$2:$E$2000,"Actual")&gt;0,SUMIFS(Sales!$D$2:$D$2000,Sales!$B$2:$B$2000,$A42,Sales!$C$2:$C$2000,Q$4,Sales!$E$2:$E$2000,"Actual"),SUMIFS(Sales!$D$2:$D$2000,Sales!$B$2:$B$2000,$A42,Sales!$C$2:$C$2000,Q$4,Sales!$E$2:$E$2000,"Forecast"))</f>
        <v>6</v>
      </c>
    </row>
    <row r="47" customFormat="false" ht="15" hidden="false" customHeight="false" outlineLevel="0" collapsed="false">
      <c r="A47" s="16" t="str">
        <f aca="false">$A$42</f>
        <v>Big Bend 2-door</v>
      </c>
      <c r="B47" s="5" t="s">
        <v>58</v>
      </c>
      <c r="C47" s="33" t="n">
        <f aca="false">C43+C44+C45-C46</f>
        <v>14</v>
      </c>
      <c r="D47" s="33" t="n">
        <f aca="false">D43+D44+D45-D46</f>
        <v>14</v>
      </c>
      <c r="E47" s="33" t="n">
        <f aca="false">E43+E44+E45-E46</f>
        <v>14</v>
      </c>
      <c r="F47" s="33" t="n">
        <f aca="false">F43+F44+F45-F46</f>
        <v>12</v>
      </c>
      <c r="G47" s="33" t="n">
        <f aca="false">G43+G44+G45-G46</f>
        <v>11</v>
      </c>
      <c r="H47" s="33" t="n">
        <f aca="false">H43+H44+H45-H46</f>
        <v>10</v>
      </c>
      <c r="I47" s="33" t="n">
        <f aca="false">I43+I44+I45-I46</f>
        <v>10</v>
      </c>
      <c r="J47" s="33" t="n">
        <f aca="false">J43+J44+J45-J46</f>
        <v>10</v>
      </c>
      <c r="K47" s="33" t="n">
        <f aca="false">K43+K44+K45-K46</f>
        <v>12</v>
      </c>
      <c r="L47" s="33" t="n">
        <f aca="false">L43+L44+L45-L46</f>
        <v>12</v>
      </c>
      <c r="M47" s="33" t="n">
        <f aca="false">M43+M44+M45-M46</f>
        <v>13</v>
      </c>
      <c r="N47" s="33" t="n">
        <f aca="false">N43+N44+N45-N46</f>
        <v>13</v>
      </c>
    </row>
    <row r="48" customFormat="false" ht="15" hidden="false" customHeight="false" outlineLevel="0" collapsed="false">
      <c r="A48" s="16" t="str">
        <f aca="false">$A$42</f>
        <v>Big Bend 2-door</v>
      </c>
      <c r="B48" s="8" t="s">
        <v>120</v>
      </c>
      <c r="C48" s="10" t="n">
        <f aca="false">AVERAGE(D46:F46)</f>
        <v>6.66666666666667</v>
      </c>
      <c r="D48" s="10" t="n">
        <f aca="false">AVERAGE(E46:G46)</f>
        <v>6.66666666666667</v>
      </c>
      <c r="E48" s="10" t="n">
        <f aca="false">AVERAGE(F46:H46)</f>
        <v>6.66666666666667</v>
      </c>
      <c r="F48" s="10" t="n">
        <f aca="false">AVERAGE(G46:I46)</f>
        <v>6</v>
      </c>
      <c r="G48" s="10" t="n">
        <f aca="false">AVERAGE(H46:J46)</f>
        <v>5.33333333333333</v>
      </c>
      <c r="H48" s="10" t="n">
        <f aca="false">AVERAGE(I46:K46)</f>
        <v>4.66666666666667</v>
      </c>
      <c r="I48" s="10" t="n">
        <f aca="false">AVERAGE(J46:L46)</f>
        <v>4.66666666666667</v>
      </c>
      <c r="J48" s="10" t="n">
        <f aca="false">AVERAGE(K46:M46)</f>
        <v>5</v>
      </c>
      <c r="K48" s="10" t="n">
        <f aca="false">AVERAGE(L46:N46)</f>
        <v>5.66666666666667</v>
      </c>
      <c r="L48" s="10" t="n">
        <f aca="false">AVERAGE(M46:O46)</f>
        <v>6</v>
      </c>
      <c r="M48" s="10" t="n">
        <f aca="false">AVERAGE(N46:P46)</f>
        <v>6.33333333333333</v>
      </c>
      <c r="N48" s="10" t="n">
        <f aca="false">AVERAGE(O46:Q46)</f>
        <v>6.33333333333333</v>
      </c>
    </row>
    <row r="49" customFormat="false" ht="15" hidden="false" customHeight="false" outlineLevel="0" collapsed="false">
      <c r="A49" s="16" t="str">
        <f aca="false">$A$42</f>
        <v>Big Bend 2-door</v>
      </c>
      <c r="B49" s="8" t="s">
        <v>121</v>
      </c>
      <c r="C49" s="10" t="n">
        <f aca="false">$D$42*C48</f>
        <v>13.3333333333333</v>
      </c>
      <c r="D49" s="10" t="n">
        <f aca="false">$D$42*D48</f>
        <v>13.3333333333333</v>
      </c>
      <c r="E49" s="10" t="n">
        <f aca="false">$D$42*E48</f>
        <v>13.3333333333333</v>
      </c>
      <c r="F49" s="10" t="n">
        <f aca="false">$D$42*F48</f>
        <v>12</v>
      </c>
      <c r="G49" s="10" t="n">
        <f aca="false">$D$42*G48</f>
        <v>10.6666666666667</v>
      </c>
      <c r="H49" s="10" t="n">
        <f aca="false">$D$42*H48</f>
        <v>9.33333333333333</v>
      </c>
      <c r="I49" s="10" t="n">
        <f aca="false">$D$42*I48</f>
        <v>9.33333333333333</v>
      </c>
      <c r="J49" s="10" t="n">
        <f aca="false">$D$42*J48</f>
        <v>10</v>
      </c>
      <c r="K49" s="10" t="n">
        <f aca="false">$D$42*K48</f>
        <v>11.3333333333333</v>
      </c>
      <c r="L49" s="10" t="n">
        <f aca="false">$D$42*L48</f>
        <v>12</v>
      </c>
      <c r="M49" s="10" t="n">
        <f aca="false">$D$42*M48</f>
        <v>12.6666666666667</v>
      </c>
      <c r="N49" s="10" t="n">
        <f aca="false">$D$42*N48</f>
        <v>12.6666666666667</v>
      </c>
    </row>
    <row r="50" customFormat="false" ht="15" hidden="false" customHeight="false" outlineLevel="0" collapsed="false">
      <c r="A50" s="16" t="str">
        <f aca="false">$A$42</f>
        <v>Big Bend 2-door</v>
      </c>
      <c r="B50" s="5" t="s">
        <v>59</v>
      </c>
      <c r="C50" s="10" t="n">
        <f aca="false">IFERROR(C47/C48,"")</f>
        <v>2.1</v>
      </c>
      <c r="D50" s="10" t="n">
        <f aca="false">IFERROR(D47/D48,"")</f>
        <v>2.1</v>
      </c>
      <c r="E50" s="10" t="n">
        <f aca="false">IFERROR(E47/E48,"")</f>
        <v>2.1</v>
      </c>
      <c r="F50" s="10" t="n">
        <f aca="false">IFERROR(F47/F48,"")</f>
        <v>2</v>
      </c>
      <c r="G50" s="10" t="n">
        <f aca="false">IFERROR(G47/G48,"")</f>
        <v>2.0625</v>
      </c>
      <c r="H50" s="10" t="n">
        <f aca="false">IFERROR(H47/H48,"")</f>
        <v>2.14285714285714</v>
      </c>
      <c r="I50" s="10" t="n">
        <f aca="false">IFERROR(I47/I48,"")</f>
        <v>2.14285714285714</v>
      </c>
      <c r="J50" s="10" t="n">
        <f aca="false">IFERROR(J47/J48,"")</f>
        <v>2</v>
      </c>
      <c r="K50" s="10" t="n">
        <f aca="false">IFERROR(K47/K48,"")</f>
        <v>2.11764705882353</v>
      </c>
      <c r="L50" s="10" t="n">
        <f aca="false">IFERROR(L47/L48,"")</f>
        <v>2</v>
      </c>
      <c r="M50" s="10" t="n">
        <f aca="false">IFERROR(M47/M48,"")</f>
        <v>2.05263157894737</v>
      </c>
      <c r="N50" s="10" t="n">
        <f aca="false">IFERROR(N47/N48,"")</f>
        <v>2.05263157894737</v>
      </c>
    </row>
    <row r="51" customFormat="false" ht="15" hidden="false" customHeight="false" outlineLevel="0" collapsed="false">
      <c r="A51" s="16" t="str">
        <f aca="false">$A$42</f>
        <v>Big Bend 2-door</v>
      </c>
      <c r="B51" s="5" t="s">
        <v>122</v>
      </c>
      <c r="C51" s="33" t="n">
        <f aca="false">IF(C$3+$F$42&lt;=12,INDEX($C$45:$N$45,C$3+$F$42),"")</f>
        <v>5</v>
      </c>
      <c r="D51" s="33" t="n">
        <f aca="false">IF(D$3+$F$42&lt;=12,INDEX($C$45:$N$45,D$3+$F$42),"")</f>
        <v>6</v>
      </c>
      <c r="E51" s="33" t="n">
        <f aca="false">IF(E$3+$F$42&lt;=12,INDEX($C$45:$N$45,E$3+$F$42),"")</f>
        <v>5</v>
      </c>
      <c r="F51" s="33" t="n">
        <f aca="false">IF(F$3+$F$42&lt;=12,INDEX($C$45:$N$45,F$3+$F$42),"")</f>
        <v>5</v>
      </c>
      <c r="G51" s="33" t="n">
        <f aca="false">IF(G$3+$F$42&lt;=12,INDEX($C$45:$N$45,G$3+$F$42),"")</f>
        <v>5</v>
      </c>
      <c r="H51" s="33" t="n">
        <f aca="false">IF(H$3+$F$42&lt;=12,INDEX($C$45:$N$45,H$3+$F$42),"")</f>
        <v>6</v>
      </c>
      <c r="I51" s="33" t="n">
        <f aca="false">IF(I$3+$F$42&lt;=12,INDEX($C$45:$N$45,I$3+$F$42),"")</f>
        <v>5</v>
      </c>
      <c r="J51" s="33" t="n">
        <f aca="false">IF(J$3+$F$42&lt;=12,INDEX($C$45:$N$45,J$3+$F$42),"")</f>
        <v>7</v>
      </c>
      <c r="K51" s="33" t="n">
        <f aca="false">IF(K$3+$F$42&lt;=12,INDEX($C$45:$N$45,K$3+$F$42),"")</f>
        <v>6</v>
      </c>
      <c r="L51" s="33" t="str">
        <f aca="false">IF(L$3+$F$42&lt;=12,INDEX($C$45:$N$45,L$3+$F$42),"")</f>
        <v/>
      </c>
      <c r="M51" s="33" t="str">
        <f aca="false">IF(M$3+$F$42&lt;=12,INDEX($C$45:$N$45,M$3+$F$42),"")</f>
        <v/>
      </c>
      <c r="N51" s="33" t="str">
        <f aca="false">IF(N$3+$F$42&lt;=12,INDEX($C$45:$N$45,N$3+$F$42),"")</f>
        <v/>
      </c>
    </row>
    <row r="52" customFormat="false" ht="15" hidden="false" customHeight="false" outlineLevel="0" collapsed="false">
      <c r="A52" s="16" t="str">
        <f aca="false">$A$42</f>
        <v>Big Bend 2-door</v>
      </c>
      <c r="B52" s="8" t="s">
        <v>123</v>
      </c>
      <c r="C52" s="30" t="n">
        <f aca="false">SUMIFS(Orders!$E$2:$E$2000,Orders!$C$2:$C$2000,$A42,Orders!$D$2:$D$2000,C$4)</f>
        <v>0</v>
      </c>
      <c r="D52" s="30" t="n">
        <f aca="false">SUMIFS(Orders!$E$2:$E$2000,Orders!$C$2:$C$2000,$A42,Orders!$D$2:$D$2000,D$4)</f>
        <v>0</v>
      </c>
      <c r="E52" s="30" t="n">
        <f aca="false">SUMIFS(Orders!$E$2:$E$2000,Orders!$C$2:$C$2000,$A42,Orders!$D$2:$D$2000,E$4)</f>
        <v>0</v>
      </c>
      <c r="F52" s="30" t="n">
        <f aca="false">SUMIFS(Orders!$E$2:$E$2000,Orders!$C$2:$C$2000,$A42,Orders!$D$2:$D$2000,F$4)</f>
        <v>0</v>
      </c>
      <c r="G52" s="30" t="n">
        <f aca="false">SUMIFS(Orders!$E$2:$E$2000,Orders!$C$2:$C$2000,$A42,Orders!$D$2:$D$2000,G$4)</f>
        <v>0</v>
      </c>
      <c r="H52" s="30" t="n">
        <f aca="false">SUMIFS(Orders!$E$2:$E$2000,Orders!$C$2:$C$2000,$A42,Orders!$D$2:$D$2000,H$4)</f>
        <v>0</v>
      </c>
      <c r="I52" s="30" t="n">
        <f aca="false">SUMIFS(Orders!$E$2:$E$2000,Orders!$C$2:$C$2000,$A42,Orders!$D$2:$D$2000,I$4)</f>
        <v>0</v>
      </c>
      <c r="J52" s="30" t="n">
        <f aca="false">SUMIFS(Orders!$E$2:$E$2000,Orders!$C$2:$C$2000,$A42,Orders!$D$2:$D$2000,J$4)</f>
        <v>0</v>
      </c>
      <c r="K52" s="30" t="n">
        <f aca="false">SUMIFS(Orders!$E$2:$E$2000,Orders!$C$2:$C$2000,$A42,Orders!$D$2:$D$2000,K$4)</f>
        <v>0</v>
      </c>
      <c r="L52" s="30" t="n">
        <f aca="false">SUMIFS(Orders!$E$2:$E$2000,Orders!$C$2:$C$2000,$A42,Orders!$D$2:$D$2000,L$4)</f>
        <v>0</v>
      </c>
      <c r="M52" s="30" t="n">
        <f aca="false">SUMIFS(Orders!$E$2:$E$2000,Orders!$C$2:$C$2000,$A42,Orders!$D$2:$D$2000,M$4)</f>
        <v>0</v>
      </c>
      <c r="N52" s="30" t="n">
        <f aca="false">SUMIFS(Orders!$E$2:$E$2000,Orders!$C$2:$C$2000,$A42,Orders!$D$2:$D$2000,N$4)</f>
        <v>0</v>
      </c>
    </row>
    <row r="54" customFormat="false" ht="15" hidden="false" customHeight="false" outlineLevel="0" collapsed="false">
      <c r="A54" s="17" t="str">
        <f aca="false">INDEX(Settings!$B$2:$B$100,5)</f>
        <v>Big Bend 4-door</v>
      </c>
      <c r="B54" s="17" t="str">
        <f aca="false">INDEX(Settings!$A$2:$A$100,5)&amp;" - "&amp;A54</f>
        <v>Bronco - Big Bend 4-door</v>
      </c>
      <c r="C54" s="17" t="s">
        <v>43</v>
      </c>
      <c r="D54" s="17" t="n">
        <f aca="false">INDEX(Settings!$C$2:$C$100,MATCH($A54,Settings!$B$2:$B$100,0))</f>
        <v>2</v>
      </c>
      <c r="E54" s="17" t="s">
        <v>115</v>
      </c>
      <c r="F54" s="17" t="n">
        <f aca="false">INDEX(Settings!$D$2:$D$100,MATCH($A54,Settings!$B$2:$B$100,0))</f>
        <v>3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</row>
    <row r="55" customFormat="false" ht="15" hidden="false" customHeight="false" outlineLevel="0" collapsed="false">
      <c r="A55" s="16" t="str">
        <f aca="false">$A$54</f>
        <v>Big Bend 4-door</v>
      </c>
      <c r="B55" s="8" t="s">
        <v>116</v>
      </c>
      <c r="C55" s="30" t="n">
        <f aca="false">SUMIFS('Opening Stock'!$D$2:$D$1000,'Opening Stock'!$B$2:$B$1000,$A54)</f>
        <v>25</v>
      </c>
      <c r="D55" s="30" t="n">
        <f aca="false">C59</f>
        <v>25</v>
      </c>
      <c r="E55" s="30" t="n">
        <f aca="false">D59</f>
        <v>25</v>
      </c>
      <c r="F55" s="30" t="n">
        <f aca="false">E59</f>
        <v>25</v>
      </c>
      <c r="G55" s="30" t="n">
        <f aca="false">F59</f>
        <v>20</v>
      </c>
      <c r="H55" s="30" t="n">
        <f aca="false">G59</f>
        <v>18</v>
      </c>
      <c r="I55" s="30" t="n">
        <f aca="false">H59</f>
        <v>17</v>
      </c>
      <c r="J55" s="30" t="n">
        <f aca="false">I59</f>
        <v>16</v>
      </c>
      <c r="K55" s="30" t="n">
        <f aca="false">J59</f>
        <v>18</v>
      </c>
      <c r="L55" s="30" t="n">
        <f aca="false">K59</f>
        <v>19</v>
      </c>
      <c r="M55" s="30" t="n">
        <f aca="false">L59</f>
        <v>20</v>
      </c>
      <c r="N55" s="30" t="n">
        <f aca="false">M59</f>
        <v>22</v>
      </c>
    </row>
    <row r="56" customFormat="false" ht="15" hidden="false" customHeight="false" outlineLevel="0" collapsed="false">
      <c r="A56" s="16" t="str">
        <f aca="false">$A$54</f>
        <v>Big Bend 4-door</v>
      </c>
      <c r="B56" s="8" t="s">
        <v>117</v>
      </c>
      <c r="C56" s="30" t="n">
        <f aca="false">SUMIFS(Orders!$E$2:$E$2000,Orders!$C$2:$C$2000,$A54,Orders!$H$2:$H$2000,C$4)</f>
        <v>10</v>
      </c>
      <c r="D56" s="30" t="n">
        <f aca="false">SUMIFS(Orders!$E$2:$E$2000,Orders!$C$2:$C$2000,$A54,Orders!$H$2:$H$2000,D$4)</f>
        <v>12</v>
      </c>
      <c r="E56" s="30" t="n">
        <f aca="false">SUMIFS(Orders!$E$2:$E$2000,Orders!$C$2:$C$2000,$A54,Orders!$H$2:$H$2000,E$4)</f>
        <v>10</v>
      </c>
      <c r="F56" s="30" t="n">
        <f aca="false">SUMIFS(Orders!$E$2:$E$2000,Orders!$C$2:$C$2000,$A54,Orders!$H$2:$H$2000,F$4)</f>
        <v>0</v>
      </c>
      <c r="G56" s="30" t="n">
        <f aca="false">SUMIFS(Orders!$E$2:$E$2000,Orders!$C$2:$C$2000,$A54,Orders!$H$2:$H$2000,G$4)</f>
        <v>0</v>
      </c>
      <c r="H56" s="30" t="n">
        <f aca="false">SUMIFS(Orders!$E$2:$E$2000,Orders!$C$2:$C$2000,$A54,Orders!$H$2:$H$2000,H$4)</f>
        <v>0</v>
      </c>
      <c r="I56" s="30" t="n">
        <f aca="false">SUMIFS(Orders!$E$2:$E$2000,Orders!$C$2:$C$2000,$A54,Orders!$H$2:$H$2000,I$4)</f>
        <v>0</v>
      </c>
      <c r="J56" s="30" t="n">
        <f aca="false">SUMIFS(Orders!$E$2:$E$2000,Orders!$C$2:$C$2000,$A54,Orders!$H$2:$H$2000,J$4)</f>
        <v>0</v>
      </c>
      <c r="K56" s="30" t="n">
        <f aca="false">SUMIFS(Orders!$E$2:$E$2000,Orders!$C$2:$C$2000,$A54,Orders!$H$2:$H$2000,K$4)</f>
        <v>0</v>
      </c>
      <c r="L56" s="30" t="n">
        <f aca="false">SUMIFS(Orders!$E$2:$E$2000,Orders!$C$2:$C$2000,$A54,Orders!$H$2:$H$2000,L$4)</f>
        <v>0</v>
      </c>
      <c r="M56" s="30" t="n">
        <f aca="false">SUMIFS(Orders!$E$2:$E$2000,Orders!$C$2:$C$2000,$A54,Orders!$H$2:$H$2000,M$4)</f>
        <v>0</v>
      </c>
      <c r="N56" s="30" t="n">
        <f aca="false">SUMIFS(Orders!$E$2:$E$2000,Orders!$C$2:$C$2000,$A54,Orders!$H$2:$H$2000,N$4)</f>
        <v>0</v>
      </c>
    </row>
    <row r="57" customFormat="false" ht="15" hidden="false" customHeight="false" outlineLevel="0" collapsed="false">
      <c r="A57" s="16" t="str">
        <f aca="false">$A$54</f>
        <v>Big Bend 4-door</v>
      </c>
      <c r="B57" s="8" t="s">
        <v>118</v>
      </c>
      <c r="C57" s="31" t="n">
        <f aca="false">IF(C$3&lt;=$F$54,0,MAX(0,ROUNDUP(C61-(C55+C56-C58),0)))</f>
        <v>0</v>
      </c>
      <c r="D57" s="31" t="n">
        <f aca="false">IF(D$3&lt;=$F$54,0,MAX(0,ROUNDUP(D61-(D55+D56-D58),0)))</f>
        <v>0</v>
      </c>
      <c r="E57" s="31" t="n">
        <f aca="false">IF(E$3&lt;=$F$54,0,MAX(0,ROUNDUP(E61-(E55+E56-E58),0)))</f>
        <v>0</v>
      </c>
      <c r="F57" s="30" t="n">
        <f aca="false">IF(F$3&lt;=$F$54,0,MAX(0,ROUNDUP(F61-(F55+F56-F58),0)))</f>
        <v>7</v>
      </c>
      <c r="G57" s="30" t="n">
        <f aca="false">IF(G$3&lt;=$F$54,0,MAX(0,ROUNDUP(G61-(G55+G56-G58),0)))</f>
        <v>9</v>
      </c>
      <c r="H57" s="30" t="n">
        <f aca="false">IF(H$3&lt;=$F$54,0,MAX(0,ROUNDUP(H61-(H55+H56-H58),0)))</f>
        <v>9</v>
      </c>
      <c r="I57" s="30" t="n">
        <f aca="false">IF(I$3&lt;=$F$54,0,MAX(0,ROUNDUP(I61-(I55+I56-I58),0)))</f>
        <v>8</v>
      </c>
      <c r="J57" s="30" t="n">
        <f aca="false">IF(J$3&lt;=$F$54,0,MAX(0,ROUNDUP(J61-(J55+J56-J58),0)))</f>
        <v>10</v>
      </c>
      <c r="K57" s="30" t="n">
        <f aca="false">IF(K$3&lt;=$F$54,0,MAX(0,ROUNDUP(K61-(K55+K56-K58),0)))</f>
        <v>9</v>
      </c>
      <c r="L57" s="30" t="n">
        <f aca="false">IF(L$3&lt;=$F$54,0,MAX(0,ROUNDUP(L61-(L55+L56-L58),0)))</f>
        <v>9</v>
      </c>
      <c r="M57" s="30" t="n">
        <f aca="false">IF(M$3&lt;=$F$54,0,MAX(0,ROUNDUP(M61-(M55+M56-M58),0)))</f>
        <v>12</v>
      </c>
      <c r="N57" s="30" t="n">
        <f aca="false">IF(N$3&lt;=$F$54,0,MAX(0,ROUNDUP(N61-(N55+N56-N58),0)))</f>
        <v>10</v>
      </c>
    </row>
    <row r="58" customFormat="false" ht="15" hidden="false" customHeight="false" outlineLevel="0" collapsed="false">
      <c r="A58" s="16" t="str">
        <f aca="false">$A$54</f>
        <v>Big Bend 4-door</v>
      </c>
      <c r="B58" s="8" t="s">
        <v>119</v>
      </c>
      <c r="C58" s="30" t="n">
        <f aca="false">IF(COUNTIFS(Sales!$B$2:$B$2000,$A54,Sales!$C$2:$C$2000,C$4,Sales!$E$2:$E$2000,"Actual")&gt;0,SUMIFS(Sales!$D$2:$D$2000,Sales!$B$2:$B$2000,$A54,Sales!$C$2:$C$2000,C$4,Sales!$E$2:$E$2000,"Actual"),SUMIFS(Sales!$D$2:$D$2000,Sales!$B$2:$B$2000,$A54,Sales!$C$2:$C$2000,C$4,Sales!$E$2:$E$2000,"Forecast"))</f>
        <v>10</v>
      </c>
      <c r="D58" s="30" t="n">
        <f aca="false">IF(COUNTIFS(Sales!$B$2:$B$2000,$A54,Sales!$C$2:$C$2000,D$4,Sales!$E$2:$E$2000,"Actual")&gt;0,SUMIFS(Sales!$D$2:$D$2000,Sales!$B$2:$B$2000,$A54,Sales!$C$2:$C$2000,D$4,Sales!$E$2:$E$2000,"Actual"),SUMIFS(Sales!$D$2:$D$2000,Sales!$B$2:$B$2000,$A54,Sales!$C$2:$C$2000,D$4,Sales!$E$2:$E$2000,"Forecast"))</f>
        <v>12</v>
      </c>
      <c r="E58" s="30" t="n">
        <f aca="false">IF(COUNTIFS(Sales!$B$2:$B$2000,$A54,Sales!$C$2:$C$2000,E$4,Sales!$E$2:$E$2000,"Actual")&gt;0,SUMIFS(Sales!$D$2:$D$2000,Sales!$B$2:$B$2000,$A54,Sales!$C$2:$C$2000,E$4,Sales!$E$2:$E$2000,"Actual"),SUMIFS(Sales!$D$2:$D$2000,Sales!$B$2:$B$2000,$A54,Sales!$C$2:$C$2000,E$4,Sales!$E$2:$E$2000,"Forecast"))</f>
        <v>10</v>
      </c>
      <c r="F58" s="30" t="n">
        <f aca="false">IF(COUNTIFS(Sales!$B$2:$B$2000,$A54,Sales!$C$2:$C$2000,F$4,Sales!$E$2:$E$2000,"Actual")&gt;0,SUMIFS(Sales!$D$2:$D$2000,Sales!$B$2:$B$2000,$A54,Sales!$C$2:$C$2000,F$4,Sales!$E$2:$E$2000,"Actual"),SUMIFS(Sales!$D$2:$D$2000,Sales!$B$2:$B$2000,$A54,Sales!$C$2:$C$2000,F$4,Sales!$E$2:$E$2000,"Forecast"))</f>
        <v>12</v>
      </c>
      <c r="G58" s="30" t="n">
        <f aca="false">IF(COUNTIFS(Sales!$B$2:$B$2000,$A54,Sales!$C$2:$C$2000,G$4,Sales!$E$2:$E$2000,"Actual")&gt;0,SUMIFS(Sales!$D$2:$D$2000,Sales!$B$2:$B$2000,$A54,Sales!$C$2:$C$2000,G$4,Sales!$E$2:$E$2000,"Actual"),SUMIFS(Sales!$D$2:$D$2000,Sales!$B$2:$B$2000,$A54,Sales!$C$2:$C$2000,G$4,Sales!$E$2:$E$2000,"Forecast"))</f>
        <v>11</v>
      </c>
      <c r="H58" s="30" t="n">
        <f aca="false">IF(COUNTIFS(Sales!$B$2:$B$2000,$A54,Sales!$C$2:$C$2000,H$4,Sales!$E$2:$E$2000,"Actual")&gt;0,SUMIFS(Sales!$D$2:$D$2000,Sales!$B$2:$B$2000,$A54,Sales!$C$2:$C$2000,H$4,Sales!$E$2:$E$2000,"Actual"),SUMIFS(Sales!$D$2:$D$2000,Sales!$B$2:$B$2000,$A54,Sales!$C$2:$C$2000,H$4,Sales!$E$2:$E$2000,"Forecast"))</f>
        <v>10</v>
      </c>
      <c r="I58" s="30" t="n">
        <f aca="false">IF(COUNTIFS(Sales!$B$2:$B$2000,$A54,Sales!$C$2:$C$2000,I$4,Sales!$E$2:$E$2000,"Actual")&gt;0,SUMIFS(Sales!$D$2:$D$2000,Sales!$B$2:$B$2000,$A54,Sales!$C$2:$C$2000,I$4,Sales!$E$2:$E$2000,"Actual"),SUMIFS(Sales!$D$2:$D$2000,Sales!$B$2:$B$2000,$A54,Sales!$C$2:$C$2000,I$4,Sales!$E$2:$E$2000,"Forecast"))</f>
        <v>9</v>
      </c>
      <c r="J58" s="30" t="n">
        <f aca="false">IF(COUNTIFS(Sales!$B$2:$B$2000,$A54,Sales!$C$2:$C$2000,J$4,Sales!$E$2:$E$2000,"Actual")&gt;0,SUMIFS(Sales!$D$2:$D$2000,Sales!$B$2:$B$2000,$A54,Sales!$C$2:$C$2000,J$4,Sales!$E$2:$E$2000,"Actual"),SUMIFS(Sales!$D$2:$D$2000,Sales!$B$2:$B$2000,$A54,Sales!$C$2:$C$2000,J$4,Sales!$E$2:$E$2000,"Forecast"))</f>
        <v>8</v>
      </c>
      <c r="K58" s="30" t="n">
        <f aca="false">IF(COUNTIFS(Sales!$B$2:$B$2000,$A54,Sales!$C$2:$C$2000,K$4,Sales!$E$2:$E$2000,"Actual")&gt;0,SUMIFS(Sales!$D$2:$D$2000,Sales!$B$2:$B$2000,$A54,Sales!$C$2:$C$2000,K$4,Sales!$E$2:$E$2000,"Actual"),SUMIFS(Sales!$D$2:$D$2000,Sales!$B$2:$B$2000,$A54,Sales!$C$2:$C$2000,K$4,Sales!$E$2:$E$2000,"Forecast"))</f>
        <v>8</v>
      </c>
      <c r="L58" s="30" t="n">
        <f aca="false">IF(COUNTIFS(Sales!$B$2:$B$2000,$A54,Sales!$C$2:$C$2000,L$4,Sales!$E$2:$E$2000,"Actual")&gt;0,SUMIFS(Sales!$D$2:$D$2000,Sales!$B$2:$B$2000,$A54,Sales!$C$2:$C$2000,L$4,Sales!$E$2:$E$2000,"Actual"),SUMIFS(Sales!$D$2:$D$2000,Sales!$B$2:$B$2000,$A54,Sales!$C$2:$C$2000,L$4,Sales!$E$2:$E$2000,"Forecast"))</f>
        <v>8</v>
      </c>
      <c r="M58" s="30" t="n">
        <f aca="false">IF(COUNTIFS(Sales!$B$2:$B$2000,$A54,Sales!$C$2:$C$2000,M$4,Sales!$E$2:$E$2000,"Actual")&gt;0,SUMIFS(Sales!$D$2:$D$2000,Sales!$B$2:$B$2000,$A54,Sales!$C$2:$C$2000,M$4,Sales!$E$2:$E$2000,"Actual"),SUMIFS(Sales!$D$2:$D$2000,Sales!$B$2:$B$2000,$A54,Sales!$C$2:$C$2000,M$4,Sales!$E$2:$E$2000,"Forecast"))</f>
        <v>10</v>
      </c>
      <c r="N58" s="30" t="n">
        <f aca="false">IF(COUNTIFS(Sales!$B$2:$B$2000,$A54,Sales!$C$2:$C$2000,N$4,Sales!$E$2:$E$2000,"Actual")&gt;0,SUMIFS(Sales!$D$2:$D$2000,Sales!$B$2:$B$2000,$A54,Sales!$C$2:$C$2000,N$4,Sales!$E$2:$E$2000,"Actual"),SUMIFS(Sales!$D$2:$D$2000,Sales!$B$2:$B$2000,$A54,Sales!$C$2:$C$2000,N$4,Sales!$E$2:$E$2000,"Forecast"))</f>
        <v>10</v>
      </c>
      <c r="O58" s="32" t="n">
        <f aca="false">IF(COUNTIFS(Sales!$B$2:$B$2000,$A54,Sales!$C$2:$C$2000,O$4,Sales!$E$2:$E$2000,"Actual")&gt;0,SUMIFS(Sales!$D$2:$D$2000,Sales!$B$2:$B$2000,$A54,Sales!$C$2:$C$2000,O$4,Sales!$E$2:$E$2000,"Actual"),SUMIFS(Sales!$D$2:$D$2000,Sales!$B$2:$B$2000,$A54,Sales!$C$2:$C$2000,O$4,Sales!$E$2:$E$2000,"Forecast"))</f>
        <v>10</v>
      </c>
      <c r="P58" s="32" t="n">
        <f aca="false">IF(COUNTIFS(Sales!$B$2:$B$2000,$A54,Sales!$C$2:$C$2000,P$4,Sales!$E$2:$E$2000,"Actual")&gt;0,SUMIFS(Sales!$D$2:$D$2000,Sales!$B$2:$B$2000,$A54,Sales!$C$2:$C$2000,P$4,Sales!$E$2:$E$2000,"Actual"),SUMIFS(Sales!$D$2:$D$2000,Sales!$B$2:$B$2000,$A54,Sales!$C$2:$C$2000,P$4,Sales!$E$2:$E$2000,"Forecast"))</f>
        <v>12</v>
      </c>
      <c r="Q58" s="32" t="n">
        <f aca="false">IF(COUNTIFS(Sales!$B$2:$B$2000,$A54,Sales!$C$2:$C$2000,Q$4,Sales!$E$2:$E$2000,"Actual")&gt;0,SUMIFS(Sales!$D$2:$D$2000,Sales!$B$2:$B$2000,$A54,Sales!$C$2:$C$2000,Q$4,Sales!$E$2:$E$2000,"Actual"),SUMIFS(Sales!$D$2:$D$2000,Sales!$B$2:$B$2000,$A54,Sales!$C$2:$C$2000,Q$4,Sales!$E$2:$E$2000,"Forecast"))</f>
        <v>10</v>
      </c>
    </row>
    <row r="59" customFormat="false" ht="15" hidden="false" customHeight="false" outlineLevel="0" collapsed="false">
      <c r="A59" s="16" t="str">
        <f aca="false">$A$54</f>
        <v>Big Bend 4-door</v>
      </c>
      <c r="B59" s="5" t="s">
        <v>58</v>
      </c>
      <c r="C59" s="33" t="n">
        <f aca="false">C55+C56+C57-C58</f>
        <v>25</v>
      </c>
      <c r="D59" s="33" t="n">
        <f aca="false">D55+D56+D57-D58</f>
        <v>25</v>
      </c>
      <c r="E59" s="33" t="n">
        <f aca="false">E55+E56+E57-E58</f>
        <v>25</v>
      </c>
      <c r="F59" s="33" t="n">
        <f aca="false">F55+F56+F57-F58</f>
        <v>20</v>
      </c>
      <c r="G59" s="33" t="n">
        <f aca="false">G55+G56+G57-G58</f>
        <v>18</v>
      </c>
      <c r="H59" s="33" t="n">
        <f aca="false">H55+H56+H57-H58</f>
        <v>17</v>
      </c>
      <c r="I59" s="33" t="n">
        <f aca="false">I55+I56+I57-I58</f>
        <v>16</v>
      </c>
      <c r="J59" s="33" t="n">
        <f aca="false">J55+J56+J57-J58</f>
        <v>18</v>
      </c>
      <c r="K59" s="33" t="n">
        <f aca="false">K55+K56+K57-K58</f>
        <v>19</v>
      </c>
      <c r="L59" s="33" t="n">
        <f aca="false">L55+L56+L57-L58</f>
        <v>20</v>
      </c>
      <c r="M59" s="33" t="n">
        <f aca="false">M55+M56+M57-M58</f>
        <v>22</v>
      </c>
      <c r="N59" s="33" t="n">
        <f aca="false">N55+N56+N57-N58</f>
        <v>22</v>
      </c>
    </row>
    <row r="60" customFormat="false" ht="15" hidden="false" customHeight="false" outlineLevel="0" collapsed="false">
      <c r="A60" s="16" t="str">
        <f aca="false">$A$54</f>
        <v>Big Bend 4-door</v>
      </c>
      <c r="B60" s="8" t="s">
        <v>120</v>
      </c>
      <c r="C60" s="10" t="n">
        <f aca="false">AVERAGE(D58:F58)</f>
        <v>11.3333333333333</v>
      </c>
      <c r="D60" s="10" t="n">
        <f aca="false">AVERAGE(E58:G58)</f>
        <v>11</v>
      </c>
      <c r="E60" s="10" t="n">
        <f aca="false">AVERAGE(F58:H58)</f>
        <v>11</v>
      </c>
      <c r="F60" s="10" t="n">
        <f aca="false">AVERAGE(G58:I58)</f>
        <v>10</v>
      </c>
      <c r="G60" s="10" t="n">
        <f aca="false">AVERAGE(H58:J58)</f>
        <v>9</v>
      </c>
      <c r="H60" s="10" t="n">
        <f aca="false">AVERAGE(I58:K58)</f>
        <v>8.33333333333333</v>
      </c>
      <c r="I60" s="10" t="n">
        <f aca="false">AVERAGE(J58:L58)</f>
        <v>8</v>
      </c>
      <c r="J60" s="10" t="n">
        <f aca="false">AVERAGE(K58:M58)</f>
        <v>8.66666666666667</v>
      </c>
      <c r="K60" s="10" t="n">
        <f aca="false">AVERAGE(L58:N58)</f>
        <v>9.33333333333333</v>
      </c>
      <c r="L60" s="10" t="n">
        <f aca="false">AVERAGE(M58:O58)</f>
        <v>10</v>
      </c>
      <c r="M60" s="10" t="n">
        <f aca="false">AVERAGE(N58:P58)</f>
        <v>10.6666666666667</v>
      </c>
      <c r="N60" s="10" t="n">
        <f aca="false">AVERAGE(O58:Q58)</f>
        <v>10.6666666666667</v>
      </c>
    </row>
    <row r="61" customFormat="false" ht="15" hidden="false" customHeight="false" outlineLevel="0" collapsed="false">
      <c r="A61" s="16" t="str">
        <f aca="false">$A$54</f>
        <v>Big Bend 4-door</v>
      </c>
      <c r="B61" s="8" t="s">
        <v>121</v>
      </c>
      <c r="C61" s="10" t="n">
        <f aca="false">$D$54*C60</f>
        <v>22.6666666666667</v>
      </c>
      <c r="D61" s="10" t="n">
        <f aca="false">$D$54*D60</f>
        <v>22</v>
      </c>
      <c r="E61" s="10" t="n">
        <f aca="false">$D$54*E60</f>
        <v>22</v>
      </c>
      <c r="F61" s="10" t="n">
        <f aca="false">$D$54*F60</f>
        <v>20</v>
      </c>
      <c r="G61" s="10" t="n">
        <f aca="false">$D$54*G60</f>
        <v>18</v>
      </c>
      <c r="H61" s="10" t="n">
        <f aca="false">$D$54*H60</f>
        <v>16.6666666666667</v>
      </c>
      <c r="I61" s="10" t="n">
        <f aca="false">$D$54*I60</f>
        <v>16</v>
      </c>
      <c r="J61" s="10" t="n">
        <f aca="false">$D$54*J60</f>
        <v>17.3333333333333</v>
      </c>
      <c r="K61" s="10" t="n">
        <f aca="false">$D$54*K60</f>
        <v>18.6666666666667</v>
      </c>
      <c r="L61" s="10" t="n">
        <f aca="false">$D$54*L60</f>
        <v>20</v>
      </c>
      <c r="M61" s="10" t="n">
        <f aca="false">$D$54*M60</f>
        <v>21.3333333333333</v>
      </c>
      <c r="N61" s="10" t="n">
        <f aca="false">$D$54*N60</f>
        <v>21.3333333333333</v>
      </c>
    </row>
    <row r="62" customFormat="false" ht="15" hidden="false" customHeight="false" outlineLevel="0" collapsed="false">
      <c r="A62" s="16" t="str">
        <f aca="false">$A$54</f>
        <v>Big Bend 4-door</v>
      </c>
      <c r="B62" s="5" t="s">
        <v>59</v>
      </c>
      <c r="C62" s="10" t="n">
        <f aca="false">IFERROR(C59/C60,"")</f>
        <v>2.20588235294118</v>
      </c>
      <c r="D62" s="10" t="n">
        <f aca="false">IFERROR(D59/D60,"")</f>
        <v>2.27272727272727</v>
      </c>
      <c r="E62" s="10" t="n">
        <f aca="false">IFERROR(E59/E60,"")</f>
        <v>2.27272727272727</v>
      </c>
      <c r="F62" s="10" t="n">
        <f aca="false">IFERROR(F59/F60,"")</f>
        <v>2</v>
      </c>
      <c r="G62" s="10" t="n">
        <f aca="false">IFERROR(G59/G60,"")</f>
        <v>2</v>
      </c>
      <c r="H62" s="10" t="n">
        <f aca="false">IFERROR(H59/H60,"")</f>
        <v>2.04</v>
      </c>
      <c r="I62" s="10" t="n">
        <f aca="false">IFERROR(I59/I60,"")</f>
        <v>2</v>
      </c>
      <c r="J62" s="10" t="n">
        <f aca="false">IFERROR(J59/J60,"")</f>
        <v>2.07692307692308</v>
      </c>
      <c r="K62" s="10" t="n">
        <f aca="false">IFERROR(K59/K60,"")</f>
        <v>2.03571428571429</v>
      </c>
      <c r="L62" s="10" t="n">
        <f aca="false">IFERROR(L59/L60,"")</f>
        <v>2</v>
      </c>
      <c r="M62" s="10" t="n">
        <f aca="false">IFERROR(M59/M60,"")</f>
        <v>2.0625</v>
      </c>
      <c r="N62" s="10" t="n">
        <f aca="false">IFERROR(N59/N60,"")</f>
        <v>2.0625</v>
      </c>
    </row>
    <row r="63" customFormat="false" ht="15" hidden="false" customHeight="false" outlineLevel="0" collapsed="false">
      <c r="A63" s="16" t="str">
        <f aca="false">$A$54</f>
        <v>Big Bend 4-door</v>
      </c>
      <c r="B63" s="5" t="s">
        <v>122</v>
      </c>
      <c r="C63" s="33" t="n">
        <f aca="false">IF(C$3+$F$54&lt;=12,INDEX($C$57:$N$57,C$3+$F$54),"")</f>
        <v>7</v>
      </c>
      <c r="D63" s="33" t="n">
        <f aca="false">IF(D$3+$F$54&lt;=12,INDEX($C$57:$N$57,D$3+$F$54),"")</f>
        <v>9</v>
      </c>
      <c r="E63" s="33" t="n">
        <f aca="false">IF(E$3+$F$54&lt;=12,INDEX($C$57:$N$57,E$3+$F$54),"")</f>
        <v>9</v>
      </c>
      <c r="F63" s="33" t="n">
        <f aca="false">IF(F$3+$F$54&lt;=12,INDEX($C$57:$N$57,F$3+$F$54),"")</f>
        <v>8</v>
      </c>
      <c r="G63" s="33" t="n">
        <f aca="false">IF(G$3+$F$54&lt;=12,INDEX($C$57:$N$57,G$3+$F$54),"")</f>
        <v>10</v>
      </c>
      <c r="H63" s="33" t="n">
        <f aca="false">IF(H$3+$F$54&lt;=12,INDEX($C$57:$N$57,H$3+$F$54),"")</f>
        <v>9</v>
      </c>
      <c r="I63" s="33" t="n">
        <f aca="false">IF(I$3+$F$54&lt;=12,INDEX($C$57:$N$57,I$3+$F$54),"")</f>
        <v>9</v>
      </c>
      <c r="J63" s="33" t="n">
        <f aca="false">IF(J$3+$F$54&lt;=12,INDEX($C$57:$N$57,J$3+$F$54),"")</f>
        <v>12</v>
      </c>
      <c r="K63" s="33" t="n">
        <f aca="false">IF(K$3+$F$54&lt;=12,INDEX($C$57:$N$57,K$3+$F$54),"")</f>
        <v>10</v>
      </c>
      <c r="L63" s="33" t="str">
        <f aca="false">IF(L$3+$F$54&lt;=12,INDEX($C$57:$N$57,L$3+$F$54),"")</f>
        <v/>
      </c>
      <c r="M63" s="33" t="str">
        <f aca="false">IF(M$3+$F$54&lt;=12,INDEX($C$57:$N$57,M$3+$F$54),"")</f>
        <v/>
      </c>
      <c r="N63" s="33" t="str">
        <f aca="false">IF(N$3+$F$54&lt;=12,INDEX($C$57:$N$57,N$3+$F$54),"")</f>
        <v/>
      </c>
    </row>
    <row r="64" customFormat="false" ht="15" hidden="false" customHeight="false" outlineLevel="0" collapsed="false">
      <c r="A64" s="16" t="str">
        <f aca="false">$A$54</f>
        <v>Big Bend 4-door</v>
      </c>
      <c r="B64" s="8" t="s">
        <v>123</v>
      </c>
      <c r="C64" s="30" t="n">
        <f aca="false">SUMIFS(Orders!$E$2:$E$2000,Orders!$C$2:$C$2000,$A54,Orders!$D$2:$D$2000,C$4)</f>
        <v>0</v>
      </c>
      <c r="D64" s="30" t="n">
        <f aca="false">SUMIFS(Orders!$E$2:$E$2000,Orders!$C$2:$C$2000,$A54,Orders!$D$2:$D$2000,D$4)</f>
        <v>0</v>
      </c>
      <c r="E64" s="30" t="n">
        <f aca="false">SUMIFS(Orders!$E$2:$E$2000,Orders!$C$2:$C$2000,$A54,Orders!$D$2:$D$2000,E$4)</f>
        <v>0</v>
      </c>
      <c r="F64" s="30" t="n">
        <f aca="false">SUMIFS(Orders!$E$2:$E$2000,Orders!$C$2:$C$2000,$A54,Orders!$D$2:$D$2000,F$4)</f>
        <v>0</v>
      </c>
      <c r="G64" s="30" t="n">
        <f aca="false">SUMIFS(Orders!$E$2:$E$2000,Orders!$C$2:$C$2000,$A54,Orders!$D$2:$D$2000,G$4)</f>
        <v>0</v>
      </c>
      <c r="H64" s="30" t="n">
        <f aca="false">SUMIFS(Orders!$E$2:$E$2000,Orders!$C$2:$C$2000,$A54,Orders!$D$2:$D$2000,H$4)</f>
        <v>0</v>
      </c>
      <c r="I64" s="30" t="n">
        <f aca="false">SUMIFS(Orders!$E$2:$E$2000,Orders!$C$2:$C$2000,$A54,Orders!$D$2:$D$2000,I$4)</f>
        <v>0</v>
      </c>
      <c r="J64" s="30" t="n">
        <f aca="false">SUMIFS(Orders!$E$2:$E$2000,Orders!$C$2:$C$2000,$A54,Orders!$D$2:$D$2000,J$4)</f>
        <v>0</v>
      </c>
      <c r="K64" s="30" t="n">
        <f aca="false">SUMIFS(Orders!$E$2:$E$2000,Orders!$C$2:$C$2000,$A54,Orders!$D$2:$D$2000,K$4)</f>
        <v>0</v>
      </c>
      <c r="L64" s="30" t="n">
        <f aca="false">SUMIFS(Orders!$E$2:$E$2000,Orders!$C$2:$C$2000,$A54,Orders!$D$2:$D$2000,L$4)</f>
        <v>0</v>
      </c>
      <c r="M64" s="30" t="n">
        <f aca="false">SUMIFS(Orders!$E$2:$E$2000,Orders!$C$2:$C$2000,$A54,Orders!$D$2:$D$2000,M$4)</f>
        <v>0</v>
      </c>
      <c r="N64" s="30" t="n">
        <f aca="false">SUMIFS(Orders!$E$2:$E$2000,Orders!$C$2:$C$2000,$A54,Orders!$D$2:$D$2000,N$4)</f>
        <v>0</v>
      </c>
    </row>
    <row r="66" customFormat="false" ht="15" hidden="false" customHeight="false" outlineLevel="0" collapsed="false">
      <c r="A66" s="17" t="str">
        <f aca="false">INDEX(Settings!$B$2:$B$100,6)</f>
        <v>Outer Banks</v>
      </c>
      <c r="B66" s="17" t="str">
        <f aca="false">INDEX(Settings!$A$2:$A$100,6)&amp;" - "&amp;A66</f>
        <v>Bronco - Outer Banks</v>
      </c>
      <c r="C66" s="17" t="s">
        <v>43</v>
      </c>
      <c r="D66" s="17" t="n">
        <f aca="false">INDEX(Settings!$C$2:$C$100,MATCH($A66,Settings!$B$2:$B$100,0))</f>
        <v>2</v>
      </c>
      <c r="E66" s="17" t="s">
        <v>115</v>
      </c>
      <c r="F66" s="17" t="n">
        <f aca="false">INDEX(Settings!$D$2:$D$100,MATCH($A66,Settings!$B$2:$B$100,0))</f>
        <v>3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</row>
    <row r="67" customFormat="false" ht="15" hidden="false" customHeight="false" outlineLevel="0" collapsed="false">
      <c r="A67" s="16" t="str">
        <f aca="false">$A$66</f>
        <v>Outer Banks</v>
      </c>
      <c r="B67" s="8" t="s">
        <v>116</v>
      </c>
      <c r="C67" s="30" t="n">
        <f aca="false">SUMIFS('Opening Stock'!$D$2:$D$1000,'Opening Stock'!$B$2:$B$1000,$A66)</f>
        <v>19</v>
      </c>
      <c r="D67" s="30" t="n">
        <f aca="false">C71</f>
        <v>19</v>
      </c>
      <c r="E67" s="30" t="n">
        <f aca="false">D71</f>
        <v>19</v>
      </c>
      <c r="F67" s="30" t="n">
        <f aca="false">E71</f>
        <v>19</v>
      </c>
      <c r="G67" s="30" t="n">
        <f aca="false">F71</f>
        <v>16</v>
      </c>
      <c r="H67" s="30" t="n">
        <f aca="false">G71</f>
        <v>14</v>
      </c>
      <c r="I67" s="30" t="n">
        <f aca="false">H71</f>
        <v>13</v>
      </c>
      <c r="J67" s="30" t="n">
        <f aca="false">I71</f>
        <v>12</v>
      </c>
      <c r="K67" s="30" t="n">
        <f aca="false">J71</f>
        <v>14</v>
      </c>
      <c r="L67" s="30" t="n">
        <f aca="false">K71</f>
        <v>15</v>
      </c>
      <c r="M67" s="30" t="n">
        <f aca="false">L71</f>
        <v>16</v>
      </c>
      <c r="N67" s="30" t="n">
        <f aca="false">M71</f>
        <v>17</v>
      </c>
    </row>
    <row r="68" customFormat="false" ht="15" hidden="false" customHeight="false" outlineLevel="0" collapsed="false">
      <c r="A68" s="16" t="str">
        <f aca="false">$A$66</f>
        <v>Outer Banks</v>
      </c>
      <c r="B68" s="8" t="s">
        <v>117</v>
      </c>
      <c r="C68" s="30" t="n">
        <f aca="false">SUMIFS(Orders!$E$2:$E$2000,Orders!$C$2:$C$2000,$A66,Orders!$H$2:$H$2000,C$4)</f>
        <v>8</v>
      </c>
      <c r="D68" s="30" t="n">
        <f aca="false">SUMIFS(Orders!$E$2:$E$2000,Orders!$C$2:$C$2000,$A66,Orders!$H$2:$H$2000,D$4)</f>
        <v>9</v>
      </c>
      <c r="E68" s="30" t="n">
        <f aca="false">SUMIFS(Orders!$E$2:$E$2000,Orders!$C$2:$C$2000,$A66,Orders!$H$2:$H$2000,E$4)</f>
        <v>8</v>
      </c>
      <c r="F68" s="30" t="n">
        <f aca="false">SUMIFS(Orders!$E$2:$E$2000,Orders!$C$2:$C$2000,$A66,Orders!$H$2:$H$2000,F$4)</f>
        <v>0</v>
      </c>
      <c r="G68" s="30" t="n">
        <f aca="false">SUMIFS(Orders!$E$2:$E$2000,Orders!$C$2:$C$2000,$A66,Orders!$H$2:$H$2000,G$4)</f>
        <v>0</v>
      </c>
      <c r="H68" s="30" t="n">
        <f aca="false">SUMIFS(Orders!$E$2:$E$2000,Orders!$C$2:$C$2000,$A66,Orders!$H$2:$H$2000,H$4)</f>
        <v>0</v>
      </c>
      <c r="I68" s="30" t="n">
        <f aca="false">SUMIFS(Orders!$E$2:$E$2000,Orders!$C$2:$C$2000,$A66,Orders!$H$2:$H$2000,I$4)</f>
        <v>0</v>
      </c>
      <c r="J68" s="30" t="n">
        <f aca="false">SUMIFS(Orders!$E$2:$E$2000,Orders!$C$2:$C$2000,$A66,Orders!$H$2:$H$2000,J$4)</f>
        <v>0</v>
      </c>
      <c r="K68" s="30" t="n">
        <f aca="false">SUMIFS(Orders!$E$2:$E$2000,Orders!$C$2:$C$2000,$A66,Orders!$H$2:$H$2000,K$4)</f>
        <v>0</v>
      </c>
      <c r="L68" s="30" t="n">
        <f aca="false">SUMIFS(Orders!$E$2:$E$2000,Orders!$C$2:$C$2000,$A66,Orders!$H$2:$H$2000,L$4)</f>
        <v>0</v>
      </c>
      <c r="M68" s="30" t="n">
        <f aca="false">SUMIFS(Orders!$E$2:$E$2000,Orders!$C$2:$C$2000,$A66,Orders!$H$2:$H$2000,M$4)</f>
        <v>0</v>
      </c>
      <c r="N68" s="30" t="n">
        <f aca="false">SUMIFS(Orders!$E$2:$E$2000,Orders!$C$2:$C$2000,$A66,Orders!$H$2:$H$2000,N$4)</f>
        <v>0</v>
      </c>
    </row>
    <row r="69" customFormat="false" ht="15" hidden="false" customHeight="false" outlineLevel="0" collapsed="false">
      <c r="A69" s="16" t="str">
        <f aca="false">$A$66</f>
        <v>Outer Banks</v>
      </c>
      <c r="B69" s="8" t="s">
        <v>118</v>
      </c>
      <c r="C69" s="31" t="n">
        <f aca="false">IF(C$3&lt;=$F$66,0,MAX(0,ROUNDUP(C73-(C67+C68-C70),0)))</f>
        <v>0</v>
      </c>
      <c r="D69" s="31" t="n">
        <f aca="false">IF(D$3&lt;=$F$66,0,MAX(0,ROUNDUP(D73-(D67+D68-D70),0)))</f>
        <v>0</v>
      </c>
      <c r="E69" s="31" t="n">
        <f aca="false">IF(E$3&lt;=$F$66,0,MAX(0,ROUNDUP(E73-(E67+E68-E70),0)))</f>
        <v>0</v>
      </c>
      <c r="F69" s="30" t="n">
        <f aca="false">IF(F$3&lt;=$F$66,0,MAX(0,ROUNDUP(F73-(F67+F68-F70),0)))</f>
        <v>7</v>
      </c>
      <c r="G69" s="30" t="n">
        <f aca="false">IF(G$3&lt;=$F$66,0,MAX(0,ROUNDUP(G73-(G67+G68-G70),0)))</f>
        <v>7</v>
      </c>
      <c r="H69" s="30" t="n">
        <f aca="false">IF(H$3&lt;=$F$66,0,MAX(0,ROUNDUP(H73-(H67+H68-H70),0)))</f>
        <v>7</v>
      </c>
      <c r="I69" s="30" t="n">
        <f aca="false">IF(I$3&lt;=$F$66,0,MAX(0,ROUNDUP(I73-(I67+I68-I70),0)))</f>
        <v>6</v>
      </c>
      <c r="J69" s="30" t="n">
        <f aca="false">IF(J$3&lt;=$F$66,0,MAX(0,ROUNDUP(J73-(J67+J68-J70),0)))</f>
        <v>8</v>
      </c>
      <c r="K69" s="30" t="n">
        <f aca="false">IF(K$3&lt;=$F$66,0,MAX(0,ROUNDUP(K73-(K67+K68-K70),0)))</f>
        <v>7</v>
      </c>
      <c r="L69" s="30" t="n">
        <f aca="false">IF(L$3&lt;=$F$66,0,MAX(0,ROUNDUP(L73-(L67+L68-L70),0)))</f>
        <v>7</v>
      </c>
      <c r="M69" s="30" t="n">
        <f aca="false">IF(M$3&lt;=$F$66,0,MAX(0,ROUNDUP(M73-(M67+M68-M70),0)))</f>
        <v>9</v>
      </c>
      <c r="N69" s="30" t="n">
        <f aca="false">IF(N$3&lt;=$F$66,0,MAX(0,ROUNDUP(N73-(N67+N68-N70),0)))</f>
        <v>8</v>
      </c>
    </row>
    <row r="70" customFormat="false" ht="15" hidden="false" customHeight="false" outlineLevel="0" collapsed="false">
      <c r="A70" s="16" t="str">
        <f aca="false">$A$66</f>
        <v>Outer Banks</v>
      </c>
      <c r="B70" s="8" t="s">
        <v>119</v>
      </c>
      <c r="C70" s="30" t="n">
        <f aca="false">IF(COUNTIFS(Sales!$B$2:$B$2000,$A66,Sales!$C$2:$C$2000,C$4,Sales!$E$2:$E$2000,"Actual")&gt;0,SUMIFS(Sales!$D$2:$D$2000,Sales!$B$2:$B$2000,$A66,Sales!$C$2:$C$2000,C$4,Sales!$E$2:$E$2000,"Actual"),SUMIFS(Sales!$D$2:$D$2000,Sales!$B$2:$B$2000,$A66,Sales!$C$2:$C$2000,C$4,Sales!$E$2:$E$2000,"Forecast"))</f>
        <v>8</v>
      </c>
      <c r="D70" s="30" t="n">
        <f aca="false">IF(COUNTIFS(Sales!$B$2:$B$2000,$A66,Sales!$C$2:$C$2000,D$4,Sales!$E$2:$E$2000,"Actual")&gt;0,SUMIFS(Sales!$D$2:$D$2000,Sales!$B$2:$B$2000,$A66,Sales!$C$2:$C$2000,D$4,Sales!$E$2:$E$2000,"Actual"),SUMIFS(Sales!$D$2:$D$2000,Sales!$B$2:$B$2000,$A66,Sales!$C$2:$C$2000,D$4,Sales!$E$2:$E$2000,"Forecast"))</f>
        <v>9</v>
      </c>
      <c r="E70" s="30" t="n">
        <f aca="false">IF(COUNTIFS(Sales!$B$2:$B$2000,$A66,Sales!$C$2:$C$2000,E$4,Sales!$E$2:$E$2000,"Actual")&gt;0,SUMIFS(Sales!$D$2:$D$2000,Sales!$B$2:$B$2000,$A66,Sales!$C$2:$C$2000,E$4,Sales!$E$2:$E$2000,"Actual"),SUMIFS(Sales!$D$2:$D$2000,Sales!$B$2:$B$2000,$A66,Sales!$C$2:$C$2000,E$4,Sales!$E$2:$E$2000,"Forecast"))</f>
        <v>8</v>
      </c>
      <c r="F70" s="30" t="n">
        <f aca="false">IF(COUNTIFS(Sales!$B$2:$B$2000,$A66,Sales!$C$2:$C$2000,F$4,Sales!$E$2:$E$2000,"Actual")&gt;0,SUMIFS(Sales!$D$2:$D$2000,Sales!$B$2:$B$2000,$A66,Sales!$C$2:$C$2000,F$4,Sales!$E$2:$E$2000,"Actual"),SUMIFS(Sales!$D$2:$D$2000,Sales!$B$2:$B$2000,$A66,Sales!$C$2:$C$2000,F$4,Sales!$E$2:$E$2000,"Forecast"))</f>
        <v>10</v>
      </c>
      <c r="G70" s="30" t="n">
        <f aca="false">IF(COUNTIFS(Sales!$B$2:$B$2000,$A66,Sales!$C$2:$C$2000,G$4,Sales!$E$2:$E$2000,"Actual")&gt;0,SUMIFS(Sales!$D$2:$D$2000,Sales!$B$2:$B$2000,$A66,Sales!$C$2:$C$2000,G$4,Sales!$E$2:$E$2000,"Actual"),SUMIFS(Sales!$D$2:$D$2000,Sales!$B$2:$B$2000,$A66,Sales!$C$2:$C$2000,G$4,Sales!$E$2:$E$2000,"Forecast"))</f>
        <v>9</v>
      </c>
      <c r="H70" s="30" t="n">
        <f aca="false">IF(COUNTIFS(Sales!$B$2:$B$2000,$A66,Sales!$C$2:$C$2000,H$4,Sales!$E$2:$E$2000,"Actual")&gt;0,SUMIFS(Sales!$D$2:$D$2000,Sales!$B$2:$B$2000,$A66,Sales!$C$2:$C$2000,H$4,Sales!$E$2:$E$2000,"Actual"),SUMIFS(Sales!$D$2:$D$2000,Sales!$B$2:$B$2000,$A66,Sales!$C$2:$C$2000,H$4,Sales!$E$2:$E$2000,"Forecast"))</f>
        <v>8</v>
      </c>
      <c r="I70" s="30" t="n">
        <f aca="false">IF(COUNTIFS(Sales!$B$2:$B$2000,$A66,Sales!$C$2:$C$2000,I$4,Sales!$E$2:$E$2000,"Actual")&gt;0,SUMIFS(Sales!$D$2:$D$2000,Sales!$B$2:$B$2000,$A66,Sales!$C$2:$C$2000,I$4,Sales!$E$2:$E$2000,"Actual"),SUMIFS(Sales!$D$2:$D$2000,Sales!$B$2:$B$2000,$A66,Sales!$C$2:$C$2000,I$4,Sales!$E$2:$E$2000,"Forecast"))</f>
        <v>7</v>
      </c>
      <c r="J70" s="30" t="n">
        <f aca="false">IF(COUNTIFS(Sales!$B$2:$B$2000,$A66,Sales!$C$2:$C$2000,J$4,Sales!$E$2:$E$2000,"Actual")&gt;0,SUMIFS(Sales!$D$2:$D$2000,Sales!$B$2:$B$2000,$A66,Sales!$C$2:$C$2000,J$4,Sales!$E$2:$E$2000,"Actual"),SUMIFS(Sales!$D$2:$D$2000,Sales!$B$2:$B$2000,$A66,Sales!$C$2:$C$2000,J$4,Sales!$E$2:$E$2000,"Forecast"))</f>
        <v>6</v>
      </c>
      <c r="K70" s="30" t="n">
        <f aca="false">IF(COUNTIFS(Sales!$B$2:$B$2000,$A66,Sales!$C$2:$C$2000,K$4,Sales!$E$2:$E$2000,"Actual")&gt;0,SUMIFS(Sales!$D$2:$D$2000,Sales!$B$2:$B$2000,$A66,Sales!$C$2:$C$2000,K$4,Sales!$E$2:$E$2000,"Actual"),SUMIFS(Sales!$D$2:$D$2000,Sales!$B$2:$B$2000,$A66,Sales!$C$2:$C$2000,K$4,Sales!$E$2:$E$2000,"Forecast"))</f>
        <v>6</v>
      </c>
      <c r="L70" s="30" t="n">
        <f aca="false">IF(COUNTIFS(Sales!$B$2:$B$2000,$A66,Sales!$C$2:$C$2000,L$4,Sales!$E$2:$E$2000,"Actual")&gt;0,SUMIFS(Sales!$D$2:$D$2000,Sales!$B$2:$B$2000,$A66,Sales!$C$2:$C$2000,L$4,Sales!$E$2:$E$2000,"Actual"),SUMIFS(Sales!$D$2:$D$2000,Sales!$B$2:$B$2000,$A66,Sales!$C$2:$C$2000,L$4,Sales!$E$2:$E$2000,"Forecast"))</f>
        <v>6</v>
      </c>
      <c r="M70" s="30" t="n">
        <f aca="false">IF(COUNTIFS(Sales!$B$2:$B$2000,$A66,Sales!$C$2:$C$2000,M$4,Sales!$E$2:$E$2000,"Actual")&gt;0,SUMIFS(Sales!$D$2:$D$2000,Sales!$B$2:$B$2000,$A66,Sales!$C$2:$C$2000,M$4,Sales!$E$2:$E$2000,"Actual"),SUMIFS(Sales!$D$2:$D$2000,Sales!$B$2:$B$2000,$A66,Sales!$C$2:$C$2000,M$4,Sales!$E$2:$E$2000,"Forecast"))</f>
        <v>8</v>
      </c>
      <c r="N70" s="30" t="n">
        <f aca="false">IF(COUNTIFS(Sales!$B$2:$B$2000,$A66,Sales!$C$2:$C$2000,N$4,Sales!$E$2:$E$2000,"Actual")&gt;0,SUMIFS(Sales!$D$2:$D$2000,Sales!$B$2:$B$2000,$A66,Sales!$C$2:$C$2000,N$4,Sales!$E$2:$E$2000,"Actual"),SUMIFS(Sales!$D$2:$D$2000,Sales!$B$2:$B$2000,$A66,Sales!$C$2:$C$2000,N$4,Sales!$E$2:$E$2000,"Forecast"))</f>
        <v>8</v>
      </c>
      <c r="O70" s="32" t="n">
        <f aca="false">IF(COUNTIFS(Sales!$B$2:$B$2000,$A66,Sales!$C$2:$C$2000,O$4,Sales!$E$2:$E$2000,"Actual")&gt;0,SUMIFS(Sales!$D$2:$D$2000,Sales!$B$2:$B$2000,$A66,Sales!$C$2:$C$2000,O$4,Sales!$E$2:$E$2000,"Actual"),SUMIFS(Sales!$D$2:$D$2000,Sales!$B$2:$B$2000,$A66,Sales!$C$2:$C$2000,O$4,Sales!$E$2:$E$2000,"Forecast"))</f>
        <v>8</v>
      </c>
      <c r="P70" s="32" t="n">
        <f aca="false">IF(COUNTIFS(Sales!$B$2:$B$2000,$A66,Sales!$C$2:$C$2000,P$4,Sales!$E$2:$E$2000,"Actual")&gt;0,SUMIFS(Sales!$D$2:$D$2000,Sales!$B$2:$B$2000,$A66,Sales!$C$2:$C$2000,P$4,Sales!$E$2:$E$2000,"Actual"),SUMIFS(Sales!$D$2:$D$2000,Sales!$B$2:$B$2000,$A66,Sales!$C$2:$C$2000,P$4,Sales!$E$2:$E$2000,"Forecast"))</f>
        <v>9</v>
      </c>
      <c r="Q70" s="32" t="n">
        <f aca="false">IF(COUNTIFS(Sales!$B$2:$B$2000,$A66,Sales!$C$2:$C$2000,Q$4,Sales!$E$2:$E$2000,"Actual")&gt;0,SUMIFS(Sales!$D$2:$D$2000,Sales!$B$2:$B$2000,$A66,Sales!$C$2:$C$2000,Q$4,Sales!$E$2:$E$2000,"Actual"),SUMIFS(Sales!$D$2:$D$2000,Sales!$B$2:$B$2000,$A66,Sales!$C$2:$C$2000,Q$4,Sales!$E$2:$E$2000,"Forecast"))</f>
        <v>8</v>
      </c>
    </row>
    <row r="71" customFormat="false" ht="15" hidden="false" customHeight="false" outlineLevel="0" collapsed="false">
      <c r="A71" s="16" t="str">
        <f aca="false">$A$66</f>
        <v>Outer Banks</v>
      </c>
      <c r="B71" s="5" t="s">
        <v>58</v>
      </c>
      <c r="C71" s="33" t="n">
        <f aca="false">C67+C68+C69-C70</f>
        <v>19</v>
      </c>
      <c r="D71" s="33" t="n">
        <f aca="false">D67+D68+D69-D70</f>
        <v>19</v>
      </c>
      <c r="E71" s="33" t="n">
        <f aca="false">E67+E68+E69-E70</f>
        <v>19</v>
      </c>
      <c r="F71" s="33" t="n">
        <f aca="false">F67+F68+F69-F70</f>
        <v>16</v>
      </c>
      <c r="G71" s="33" t="n">
        <f aca="false">G67+G68+G69-G70</f>
        <v>14</v>
      </c>
      <c r="H71" s="33" t="n">
        <f aca="false">H67+H68+H69-H70</f>
        <v>13</v>
      </c>
      <c r="I71" s="33" t="n">
        <f aca="false">I67+I68+I69-I70</f>
        <v>12</v>
      </c>
      <c r="J71" s="33" t="n">
        <f aca="false">J67+J68+J69-J70</f>
        <v>14</v>
      </c>
      <c r="K71" s="33" t="n">
        <f aca="false">K67+K68+K69-K70</f>
        <v>15</v>
      </c>
      <c r="L71" s="33" t="n">
        <f aca="false">L67+L68+L69-L70</f>
        <v>16</v>
      </c>
      <c r="M71" s="33" t="n">
        <f aca="false">M67+M68+M69-M70</f>
        <v>17</v>
      </c>
      <c r="N71" s="33" t="n">
        <f aca="false">N67+N68+N69-N70</f>
        <v>17</v>
      </c>
    </row>
    <row r="72" customFormat="false" ht="15" hidden="false" customHeight="false" outlineLevel="0" collapsed="false">
      <c r="A72" s="16" t="str">
        <f aca="false">$A$66</f>
        <v>Outer Banks</v>
      </c>
      <c r="B72" s="8" t="s">
        <v>120</v>
      </c>
      <c r="C72" s="10" t="n">
        <f aca="false">AVERAGE(D70:F70)</f>
        <v>9</v>
      </c>
      <c r="D72" s="10" t="n">
        <f aca="false">AVERAGE(E70:G70)</f>
        <v>9</v>
      </c>
      <c r="E72" s="10" t="n">
        <f aca="false">AVERAGE(F70:H70)</f>
        <v>9</v>
      </c>
      <c r="F72" s="10" t="n">
        <f aca="false">AVERAGE(G70:I70)</f>
        <v>8</v>
      </c>
      <c r="G72" s="10" t="n">
        <f aca="false">AVERAGE(H70:J70)</f>
        <v>7</v>
      </c>
      <c r="H72" s="10" t="n">
        <f aca="false">AVERAGE(I70:K70)</f>
        <v>6.33333333333333</v>
      </c>
      <c r="I72" s="10" t="n">
        <f aca="false">AVERAGE(J70:L70)</f>
        <v>6</v>
      </c>
      <c r="J72" s="10" t="n">
        <f aca="false">AVERAGE(K70:M70)</f>
        <v>6.66666666666667</v>
      </c>
      <c r="K72" s="10" t="n">
        <f aca="false">AVERAGE(L70:N70)</f>
        <v>7.33333333333333</v>
      </c>
      <c r="L72" s="10" t="n">
        <f aca="false">AVERAGE(M70:O70)</f>
        <v>8</v>
      </c>
      <c r="M72" s="10" t="n">
        <f aca="false">AVERAGE(N70:P70)</f>
        <v>8.33333333333333</v>
      </c>
      <c r="N72" s="10" t="n">
        <f aca="false">AVERAGE(O70:Q70)</f>
        <v>8.33333333333333</v>
      </c>
    </row>
    <row r="73" customFormat="false" ht="15" hidden="false" customHeight="false" outlineLevel="0" collapsed="false">
      <c r="A73" s="16" t="str">
        <f aca="false">$A$66</f>
        <v>Outer Banks</v>
      </c>
      <c r="B73" s="8" t="s">
        <v>121</v>
      </c>
      <c r="C73" s="10" t="n">
        <f aca="false">$D$66*C72</f>
        <v>18</v>
      </c>
      <c r="D73" s="10" t="n">
        <f aca="false">$D$66*D72</f>
        <v>18</v>
      </c>
      <c r="E73" s="10" t="n">
        <f aca="false">$D$66*E72</f>
        <v>18</v>
      </c>
      <c r="F73" s="10" t="n">
        <f aca="false">$D$66*F72</f>
        <v>16</v>
      </c>
      <c r="G73" s="10" t="n">
        <f aca="false">$D$66*G72</f>
        <v>14</v>
      </c>
      <c r="H73" s="10" t="n">
        <f aca="false">$D$66*H72</f>
        <v>12.6666666666667</v>
      </c>
      <c r="I73" s="10" t="n">
        <f aca="false">$D$66*I72</f>
        <v>12</v>
      </c>
      <c r="J73" s="10" t="n">
        <f aca="false">$D$66*J72</f>
        <v>13.3333333333333</v>
      </c>
      <c r="K73" s="10" t="n">
        <f aca="false">$D$66*K72</f>
        <v>14.6666666666667</v>
      </c>
      <c r="L73" s="10" t="n">
        <f aca="false">$D$66*L72</f>
        <v>16</v>
      </c>
      <c r="M73" s="10" t="n">
        <f aca="false">$D$66*M72</f>
        <v>16.6666666666667</v>
      </c>
      <c r="N73" s="10" t="n">
        <f aca="false">$D$66*N72</f>
        <v>16.6666666666667</v>
      </c>
    </row>
    <row r="74" customFormat="false" ht="15" hidden="false" customHeight="false" outlineLevel="0" collapsed="false">
      <c r="A74" s="16" t="str">
        <f aca="false">$A$66</f>
        <v>Outer Banks</v>
      </c>
      <c r="B74" s="5" t="s">
        <v>59</v>
      </c>
      <c r="C74" s="10" t="n">
        <f aca="false">IFERROR(C71/C72,"")</f>
        <v>2.11111111111111</v>
      </c>
      <c r="D74" s="10" t="n">
        <f aca="false">IFERROR(D71/D72,"")</f>
        <v>2.11111111111111</v>
      </c>
      <c r="E74" s="10" t="n">
        <f aca="false">IFERROR(E71/E72,"")</f>
        <v>2.11111111111111</v>
      </c>
      <c r="F74" s="10" t="n">
        <f aca="false">IFERROR(F71/F72,"")</f>
        <v>2</v>
      </c>
      <c r="G74" s="10" t="n">
        <f aca="false">IFERROR(G71/G72,"")</f>
        <v>2</v>
      </c>
      <c r="H74" s="10" t="n">
        <f aca="false">IFERROR(H71/H72,"")</f>
        <v>2.05263157894737</v>
      </c>
      <c r="I74" s="10" t="n">
        <f aca="false">IFERROR(I71/I72,"")</f>
        <v>2</v>
      </c>
      <c r="J74" s="10" t="n">
        <f aca="false">IFERROR(J71/J72,"")</f>
        <v>2.1</v>
      </c>
      <c r="K74" s="10" t="n">
        <f aca="false">IFERROR(K71/K72,"")</f>
        <v>2.04545454545455</v>
      </c>
      <c r="L74" s="10" t="n">
        <f aca="false">IFERROR(L71/L72,"")</f>
        <v>2</v>
      </c>
      <c r="M74" s="10" t="n">
        <f aca="false">IFERROR(M71/M72,"")</f>
        <v>2.04</v>
      </c>
      <c r="N74" s="10" t="n">
        <f aca="false">IFERROR(N71/N72,"")</f>
        <v>2.04</v>
      </c>
    </row>
    <row r="75" customFormat="false" ht="15" hidden="false" customHeight="false" outlineLevel="0" collapsed="false">
      <c r="A75" s="16" t="str">
        <f aca="false">$A$66</f>
        <v>Outer Banks</v>
      </c>
      <c r="B75" s="5" t="s">
        <v>122</v>
      </c>
      <c r="C75" s="33" t="n">
        <f aca="false">IF(C$3+$F$66&lt;=12,INDEX($C$69:$N$69,C$3+$F$66),"")</f>
        <v>7</v>
      </c>
      <c r="D75" s="33" t="n">
        <f aca="false">IF(D$3+$F$66&lt;=12,INDEX($C$69:$N$69,D$3+$F$66),"")</f>
        <v>7</v>
      </c>
      <c r="E75" s="33" t="n">
        <f aca="false">IF(E$3+$F$66&lt;=12,INDEX($C$69:$N$69,E$3+$F$66),"")</f>
        <v>7</v>
      </c>
      <c r="F75" s="33" t="n">
        <f aca="false">IF(F$3+$F$66&lt;=12,INDEX($C$69:$N$69,F$3+$F$66),"")</f>
        <v>6</v>
      </c>
      <c r="G75" s="33" t="n">
        <f aca="false">IF(G$3+$F$66&lt;=12,INDEX($C$69:$N$69,G$3+$F$66),"")</f>
        <v>8</v>
      </c>
      <c r="H75" s="33" t="n">
        <f aca="false">IF(H$3+$F$66&lt;=12,INDEX($C$69:$N$69,H$3+$F$66),"")</f>
        <v>7</v>
      </c>
      <c r="I75" s="33" t="n">
        <f aca="false">IF(I$3+$F$66&lt;=12,INDEX($C$69:$N$69,I$3+$F$66),"")</f>
        <v>7</v>
      </c>
      <c r="J75" s="33" t="n">
        <f aca="false">IF(J$3+$F$66&lt;=12,INDEX($C$69:$N$69,J$3+$F$66),"")</f>
        <v>9</v>
      </c>
      <c r="K75" s="33" t="n">
        <f aca="false">IF(K$3+$F$66&lt;=12,INDEX($C$69:$N$69,K$3+$F$66),"")</f>
        <v>8</v>
      </c>
      <c r="L75" s="33" t="str">
        <f aca="false">IF(L$3+$F$66&lt;=12,INDEX($C$69:$N$69,L$3+$F$66),"")</f>
        <v/>
      </c>
      <c r="M75" s="33" t="str">
        <f aca="false">IF(M$3+$F$66&lt;=12,INDEX($C$69:$N$69,M$3+$F$66),"")</f>
        <v/>
      </c>
      <c r="N75" s="33" t="str">
        <f aca="false">IF(N$3+$F$66&lt;=12,INDEX($C$69:$N$69,N$3+$F$66),"")</f>
        <v/>
      </c>
    </row>
    <row r="76" customFormat="false" ht="15" hidden="false" customHeight="false" outlineLevel="0" collapsed="false">
      <c r="A76" s="16" t="str">
        <f aca="false">$A$66</f>
        <v>Outer Banks</v>
      </c>
      <c r="B76" s="8" t="s">
        <v>123</v>
      </c>
      <c r="C76" s="30" t="n">
        <f aca="false">SUMIFS(Orders!$E$2:$E$2000,Orders!$C$2:$C$2000,$A66,Orders!$D$2:$D$2000,C$4)</f>
        <v>0</v>
      </c>
      <c r="D76" s="30" t="n">
        <f aca="false">SUMIFS(Orders!$E$2:$E$2000,Orders!$C$2:$C$2000,$A66,Orders!$D$2:$D$2000,D$4)</f>
        <v>0</v>
      </c>
      <c r="E76" s="30" t="n">
        <f aca="false">SUMIFS(Orders!$E$2:$E$2000,Orders!$C$2:$C$2000,$A66,Orders!$D$2:$D$2000,E$4)</f>
        <v>0</v>
      </c>
      <c r="F76" s="30" t="n">
        <f aca="false">SUMIFS(Orders!$E$2:$E$2000,Orders!$C$2:$C$2000,$A66,Orders!$D$2:$D$2000,F$4)</f>
        <v>0</v>
      </c>
      <c r="G76" s="30" t="n">
        <f aca="false">SUMIFS(Orders!$E$2:$E$2000,Orders!$C$2:$C$2000,$A66,Orders!$D$2:$D$2000,G$4)</f>
        <v>0</v>
      </c>
      <c r="H76" s="30" t="n">
        <f aca="false">SUMIFS(Orders!$E$2:$E$2000,Orders!$C$2:$C$2000,$A66,Orders!$D$2:$D$2000,H$4)</f>
        <v>0</v>
      </c>
      <c r="I76" s="30" t="n">
        <f aca="false">SUMIFS(Orders!$E$2:$E$2000,Orders!$C$2:$C$2000,$A66,Orders!$D$2:$D$2000,I$4)</f>
        <v>0</v>
      </c>
      <c r="J76" s="30" t="n">
        <f aca="false">SUMIFS(Orders!$E$2:$E$2000,Orders!$C$2:$C$2000,$A66,Orders!$D$2:$D$2000,J$4)</f>
        <v>0</v>
      </c>
      <c r="K76" s="30" t="n">
        <f aca="false">SUMIFS(Orders!$E$2:$E$2000,Orders!$C$2:$C$2000,$A66,Orders!$D$2:$D$2000,K$4)</f>
        <v>0</v>
      </c>
      <c r="L76" s="30" t="n">
        <f aca="false">SUMIFS(Orders!$E$2:$E$2000,Orders!$C$2:$C$2000,$A66,Orders!$D$2:$D$2000,L$4)</f>
        <v>0</v>
      </c>
      <c r="M76" s="30" t="n">
        <f aca="false">SUMIFS(Orders!$E$2:$E$2000,Orders!$C$2:$C$2000,$A66,Orders!$D$2:$D$2000,M$4)</f>
        <v>0</v>
      </c>
      <c r="N76" s="30" t="n">
        <f aca="false">SUMIFS(Orders!$E$2:$E$2000,Orders!$C$2:$C$2000,$A66,Orders!$D$2:$D$2000,N$4)</f>
        <v>0</v>
      </c>
    </row>
    <row r="78" customFormat="false" ht="15" hidden="false" customHeight="false" outlineLevel="0" collapsed="false">
      <c r="A78" s="17" t="str">
        <f aca="false">INDEX(Settings!$B$2:$B$100,7)</f>
        <v>Badlands</v>
      </c>
      <c r="B78" s="17" t="str">
        <f aca="false">INDEX(Settings!$A$2:$A$100,7)&amp;" - "&amp;A78</f>
        <v>Bronco - Badlands</v>
      </c>
      <c r="C78" s="17" t="s">
        <v>43</v>
      </c>
      <c r="D78" s="17" t="n">
        <f aca="false">INDEX(Settings!$C$2:$C$100,MATCH($A78,Settings!$B$2:$B$100,0))</f>
        <v>2</v>
      </c>
      <c r="E78" s="17" t="s">
        <v>115</v>
      </c>
      <c r="F78" s="17" t="n">
        <f aca="false">INDEX(Settings!$D$2:$D$100,MATCH($A78,Settings!$B$2:$B$100,0))</f>
        <v>3</v>
      </c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</row>
    <row r="79" customFormat="false" ht="15" hidden="false" customHeight="false" outlineLevel="0" collapsed="false">
      <c r="A79" s="16" t="str">
        <f aca="false">$A$78</f>
        <v>Badlands</v>
      </c>
      <c r="B79" s="8" t="s">
        <v>116</v>
      </c>
      <c r="C79" s="30" t="n">
        <f aca="false">SUMIFS('Opening Stock'!$D$2:$D$1000,'Opening Stock'!$B$2:$B$1000,$A78)</f>
        <v>9</v>
      </c>
      <c r="D79" s="30" t="n">
        <f aca="false">C83</f>
        <v>12</v>
      </c>
      <c r="E79" s="30" t="n">
        <f aca="false">D83</f>
        <v>12</v>
      </c>
      <c r="F79" s="30" t="n">
        <f aca="false">E83</f>
        <v>17</v>
      </c>
      <c r="G79" s="30" t="n">
        <f aca="false">F83</f>
        <v>14</v>
      </c>
      <c r="H79" s="30" t="n">
        <f aca="false">G83</f>
        <v>13</v>
      </c>
      <c r="I79" s="30" t="n">
        <f aca="false">H83</f>
        <v>12</v>
      </c>
      <c r="J79" s="30" t="n">
        <f aca="false">I83</f>
        <v>12</v>
      </c>
      <c r="K79" s="30" t="n">
        <f aca="false">J83</f>
        <v>12</v>
      </c>
      <c r="L79" s="30" t="n">
        <f aca="false">K83</f>
        <v>14</v>
      </c>
      <c r="M79" s="30" t="n">
        <f aca="false">L83</f>
        <v>14</v>
      </c>
      <c r="N79" s="30" t="n">
        <f aca="false">M83</f>
        <v>15</v>
      </c>
    </row>
    <row r="80" customFormat="false" ht="15" hidden="false" customHeight="false" outlineLevel="0" collapsed="false">
      <c r="A80" s="16" t="str">
        <f aca="false">$A$78</f>
        <v>Badlands</v>
      </c>
      <c r="B80" s="8" t="s">
        <v>117</v>
      </c>
      <c r="C80" s="30" t="n">
        <f aca="false">SUMIFS(Orders!$E$2:$E$2000,Orders!$C$2:$C$2000,$A78,Orders!$H$2:$H$2000,C$4)</f>
        <v>10</v>
      </c>
      <c r="D80" s="30" t="n">
        <f aca="false">SUMIFS(Orders!$E$2:$E$2000,Orders!$C$2:$C$2000,$A78,Orders!$H$2:$H$2000,D$4)</f>
        <v>8</v>
      </c>
      <c r="E80" s="30" t="n">
        <f aca="false">SUMIFS(Orders!$E$2:$E$2000,Orders!$C$2:$C$2000,$A78,Orders!$H$2:$H$2000,E$4)</f>
        <v>12</v>
      </c>
      <c r="F80" s="30" t="n">
        <f aca="false">SUMIFS(Orders!$E$2:$E$2000,Orders!$C$2:$C$2000,$A78,Orders!$H$2:$H$2000,F$4)</f>
        <v>0</v>
      </c>
      <c r="G80" s="30" t="n">
        <f aca="false">SUMIFS(Orders!$E$2:$E$2000,Orders!$C$2:$C$2000,$A78,Orders!$H$2:$H$2000,G$4)</f>
        <v>0</v>
      </c>
      <c r="H80" s="30" t="n">
        <f aca="false">SUMIFS(Orders!$E$2:$E$2000,Orders!$C$2:$C$2000,$A78,Orders!$H$2:$H$2000,H$4)</f>
        <v>0</v>
      </c>
      <c r="I80" s="30" t="n">
        <f aca="false">SUMIFS(Orders!$E$2:$E$2000,Orders!$C$2:$C$2000,$A78,Orders!$H$2:$H$2000,I$4)</f>
        <v>0</v>
      </c>
      <c r="J80" s="30" t="n">
        <f aca="false">SUMIFS(Orders!$E$2:$E$2000,Orders!$C$2:$C$2000,$A78,Orders!$H$2:$H$2000,J$4)</f>
        <v>0</v>
      </c>
      <c r="K80" s="30" t="n">
        <f aca="false">SUMIFS(Orders!$E$2:$E$2000,Orders!$C$2:$C$2000,$A78,Orders!$H$2:$H$2000,K$4)</f>
        <v>0</v>
      </c>
      <c r="L80" s="30" t="n">
        <f aca="false">SUMIFS(Orders!$E$2:$E$2000,Orders!$C$2:$C$2000,$A78,Orders!$H$2:$H$2000,L$4)</f>
        <v>0</v>
      </c>
      <c r="M80" s="30" t="n">
        <f aca="false">SUMIFS(Orders!$E$2:$E$2000,Orders!$C$2:$C$2000,$A78,Orders!$H$2:$H$2000,M$4)</f>
        <v>0</v>
      </c>
      <c r="N80" s="30" t="n">
        <f aca="false">SUMIFS(Orders!$E$2:$E$2000,Orders!$C$2:$C$2000,$A78,Orders!$H$2:$H$2000,N$4)</f>
        <v>0</v>
      </c>
    </row>
    <row r="81" customFormat="false" ht="15" hidden="false" customHeight="false" outlineLevel="0" collapsed="false">
      <c r="A81" s="16" t="str">
        <f aca="false">$A$78</f>
        <v>Badlands</v>
      </c>
      <c r="B81" s="8" t="s">
        <v>118</v>
      </c>
      <c r="C81" s="31" t="n">
        <f aca="false">IF(C$3&lt;=$F$78,0,MAX(0,ROUNDUP(C85-(C79+C80-C82),0)))</f>
        <v>0</v>
      </c>
      <c r="D81" s="31" t="n">
        <f aca="false">IF(D$3&lt;=$F$78,0,MAX(0,ROUNDUP(D85-(D79+D80-D82),0)))</f>
        <v>0</v>
      </c>
      <c r="E81" s="31" t="n">
        <f aca="false">IF(E$3&lt;=$F$78,0,MAX(0,ROUNDUP(E85-(E79+E80-E82),0)))</f>
        <v>0</v>
      </c>
      <c r="F81" s="30" t="n">
        <f aca="false">IF(F$3&lt;=$F$78,0,MAX(0,ROUNDUP(F85-(F79+F80-F82),0)))</f>
        <v>5</v>
      </c>
      <c r="G81" s="30" t="n">
        <f aca="false">IF(G$3&lt;=$F$78,0,MAX(0,ROUNDUP(G85-(G79+G80-G82),0)))</f>
        <v>7</v>
      </c>
      <c r="H81" s="30" t="n">
        <f aca="false">IF(H$3&lt;=$F$78,0,MAX(0,ROUNDUP(H85-(H79+H80-H82),0)))</f>
        <v>6</v>
      </c>
      <c r="I81" s="30" t="n">
        <f aca="false">IF(I$3&lt;=$F$78,0,MAX(0,ROUNDUP(I85-(I79+I80-I82),0)))</f>
        <v>6</v>
      </c>
      <c r="J81" s="30" t="n">
        <f aca="false">IF(J$3&lt;=$F$78,0,MAX(0,ROUNDUP(J85-(J79+J80-J82),0)))</f>
        <v>6</v>
      </c>
      <c r="K81" s="30" t="n">
        <f aca="false">IF(K$3&lt;=$F$78,0,MAX(0,ROUNDUP(K85-(K79+K80-K82),0)))</f>
        <v>7</v>
      </c>
      <c r="L81" s="30" t="n">
        <f aca="false">IF(L$3&lt;=$F$78,0,MAX(0,ROUNDUP(L85-(L79+L80-L82),0)))</f>
        <v>6</v>
      </c>
      <c r="M81" s="30" t="n">
        <f aca="false">IF(M$3&lt;=$F$78,0,MAX(0,ROUNDUP(M85-(M79+M80-M82),0)))</f>
        <v>8</v>
      </c>
      <c r="N81" s="30" t="n">
        <f aca="false">IF(N$3&lt;=$F$78,0,MAX(0,ROUNDUP(N85-(N79+N80-N82),0)))</f>
        <v>7</v>
      </c>
    </row>
    <row r="82" customFormat="false" ht="15" hidden="false" customHeight="false" outlineLevel="0" collapsed="false">
      <c r="A82" s="16" t="str">
        <f aca="false">$A$78</f>
        <v>Badlands</v>
      </c>
      <c r="B82" s="8" t="s">
        <v>119</v>
      </c>
      <c r="C82" s="30" t="n">
        <f aca="false">IF(COUNTIFS(Sales!$B$2:$B$2000,$A78,Sales!$C$2:$C$2000,C$4,Sales!$E$2:$E$2000,"Actual")&gt;0,SUMIFS(Sales!$D$2:$D$2000,Sales!$B$2:$B$2000,$A78,Sales!$C$2:$C$2000,C$4,Sales!$E$2:$E$2000,"Actual"),SUMIFS(Sales!$D$2:$D$2000,Sales!$B$2:$B$2000,$A78,Sales!$C$2:$C$2000,C$4,Sales!$E$2:$E$2000,"Forecast"))</f>
        <v>7</v>
      </c>
      <c r="D82" s="30" t="n">
        <f aca="false">IF(COUNTIFS(Sales!$B$2:$B$2000,$A78,Sales!$C$2:$C$2000,D$4,Sales!$E$2:$E$2000,"Actual")&gt;0,SUMIFS(Sales!$D$2:$D$2000,Sales!$B$2:$B$2000,$A78,Sales!$C$2:$C$2000,D$4,Sales!$E$2:$E$2000,"Actual"),SUMIFS(Sales!$D$2:$D$2000,Sales!$B$2:$B$2000,$A78,Sales!$C$2:$C$2000,D$4,Sales!$E$2:$E$2000,"Forecast"))</f>
        <v>8</v>
      </c>
      <c r="E82" s="30" t="n">
        <f aca="false">IF(COUNTIFS(Sales!$B$2:$B$2000,$A78,Sales!$C$2:$C$2000,E$4,Sales!$E$2:$E$2000,"Actual")&gt;0,SUMIFS(Sales!$D$2:$D$2000,Sales!$B$2:$B$2000,$A78,Sales!$C$2:$C$2000,E$4,Sales!$E$2:$E$2000,"Actual"),SUMIFS(Sales!$D$2:$D$2000,Sales!$B$2:$B$2000,$A78,Sales!$C$2:$C$2000,E$4,Sales!$E$2:$E$2000,"Forecast"))</f>
        <v>7</v>
      </c>
      <c r="F82" s="30" t="n">
        <f aca="false">IF(COUNTIFS(Sales!$B$2:$B$2000,$A78,Sales!$C$2:$C$2000,F$4,Sales!$E$2:$E$2000,"Actual")&gt;0,SUMIFS(Sales!$D$2:$D$2000,Sales!$B$2:$B$2000,$A78,Sales!$C$2:$C$2000,F$4,Sales!$E$2:$E$2000,"Actual"),SUMIFS(Sales!$D$2:$D$2000,Sales!$B$2:$B$2000,$A78,Sales!$C$2:$C$2000,F$4,Sales!$E$2:$E$2000,"Forecast"))</f>
        <v>8</v>
      </c>
      <c r="G82" s="30" t="n">
        <f aca="false">IF(COUNTIFS(Sales!$B$2:$B$2000,$A78,Sales!$C$2:$C$2000,G$4,Sales!$E$2:$E$2000,"Actual")&gt;0,SUMIFS(Sales!$D$2:$D$2000,Sales!$B$2:$B$2000,$A78,Sales!$C$2:$C$2000,G$4,Sales!$E$2:$E$2000,"Actual"),SUMIFS(Sales!$D$2:$D$2000,Sales!$B$2:$B$2000,$A78,Sales!$C$2:$C$2000,G$4,Sales!$E$2:$E$2000,"Forecast"))</f>
        <v>8</v>
      </c>
      <c r="H82" s="30" t="n">
        <f aca="false">IF(COUNTIFS(Sales!$B$2:$B$2000,$A78,Sales!$C$2:$C$2000,H$4,Sales!$E$2:$E$2000,"Actual")&gt;0,SUMIFS(Sales!$D$2:$D$2000,Sales!$B$2:$B$2000,$A78,Sales!$C$2:$C$2000,H$4,Sales!$E$2:$E$2000,"Actual"),SUMIFS(Sales!$D$2:$D$2000,Sales!$B$2:$B$2000,$A78,Sales!$C$2:$C$2000,H$4,Sales!$E$2:$E$2000,"Forecast"))</f>
        <v>7</v>
      </c>
      <c r="I82" s="30" t="n">
        <f aca="false">IF(COUNTIFS(Sales!$B$2:$B$2000,$A78,Sales!$C$2:$C$2000,I$4,Sales!$E$2:$E$2000,"Actual")&gt;0,SUMIFS(Sales!$D$2:$D$2000,Sales!$B$2:$B$2000,$A78,Sales!$C$2:$C$2000,I$4,Sales!$E$2:$E$2000,"Actual"),SUMIFS(Sales!$D$2:$D$2000,Sales!$B$2:$B$2000,$A78,Sales!$C$2:$C$2000,I$4,Sales!$E$2:$E$2000,"Forecast"))</f>
        <v>6</v>
      </c>
      <c r="J82" s="30" t="n">
        <f aca="false">IF(COUNTIFS(Sales!$B$2:$B$2000,$A78,Sales!$C$2:$C$2000,J$4,Sales!$E$2:$E$2000,"Actual")&gt;0,SUMIFS(Sales!$D$2:$D$2000,Sales!$B$2:$B$2000,$A78,Sales!$C$2:$C$2000,J$4,Sales!$E$2:$E$2000,"Actual"),SUMIFS(Sales!$D$2:$D$2000,Sales!$B$2:$B$2000,$A78,Sales!$C$2:$C$2000,J$4,Sales!$E$2:$E$2000,"Forecast"))</f>
        <v>6</v>
      </c>
      <c r="K82" s="30" t="n">
        <f aca="false">IF(COUNTIFS(Sales!$B$2:$B$2000,$A78,Sales!$C$2:$C$2000,K$4,Sales!$E$2:$E$2000,"Actual")&gt;0,SUMIFS(Sales!$D$2:$D$2000,Sales!$B$2:$B$2000,$A78,Sales!$C$2:$C$2000,K$4,Sales!$E$2:$E$2000,"Actual"),SUMIFS(Sales!$D$2:$D$2000,Sales!$B$2:$B$2000,$A78,Sales!$C$2:$C$2000,K$4,Sales!$E$2:$E$2000,"Forecast"))</f>
        <v>5</v>
      </c>
      <c r="L82" s="30" t="n">
        <f aca="false">IF(COUNTIFS(Sales!$B$2:$B$2000,$A78,Sales!$C$2:$C$2000,L$4,Sales!$E$2:$E$2000,"Actual")&gt;0,SUMIFS(Sales!$D$2:$D$2000,Sales!$B$2:$B$2000,$A78,Sales!$C$2:$C$2000,L$4,Sales!$E$2:$E$2000,"Actual"),SUMIFS(Sales!$D$2:$D$2000,Sales!$B$2:$B$2000,$A78,Sales!$C$2:$C$2000,L$4,Sales!$E$2:$E$2000,"Forecast"))</f>
        <v>6</v>
      </c>
      <c r="M82" s="30" t="n">
        <f aca="false">IF(COUNTIFS(Sales!$B$2:$B$2000,$A78,Sales!$C$2:$C$2000,M$4,Sales!$E$2:$E$2000,"Actual")&gt;0,SUMIFS(Sales!$D$2:$D$2000,Sales!$B$2:$B$2000,$A78,Sales!$C$2:$C$2000,M$4,Sales!$E$2:$E$2000,"Actual"),SUMIFS(Sales!$D$2:$D$2000,Sales!$B$2:$B$2000,$A78,Sales!$C$2:$C$2000,M$4,Sales!$E$2:$E$2000,"Forecast"))</f>
        <v>7</v>
      </c>
      <c r="N82" s="30" t="n">
        <f aca="false">IF(COUNTIFS(Sales!$B$2:$B$2000,$A78,Sales!$C$2:$C$2000,N$4,Sales!$E$2:$E$2000,"Actual")&gt;0,SUMIFS(Sales!$D$2:$D$2000,Sales!$B$2:$B$2000,$A78,Sales!$C$2:$C$2000,N$4,Sales!$E$2:$E$2000,"Actual"),SUMIFS(Sales!$D$2:$D$2000,Sales!$B$2:$B$2000,$A78,Sales!$C$2:$C$2000,N$4,Sales!$E$2:$E$2000,"Forecast"))</f>
        <v>7</v>
      </c>
      <c r="O82" s="32" t="n">
        <f aca="false">IF(COUNTIFS(Sales!$B$2:$B$2000,$A78,Sales!$C$2:$C$2000,O$4,Sales!$E$2:$E$2000,"Actual")&gt;0,SUMIFS(Sales!$D$2:$D$2000,Sales!$B$2:$B$2000,$A78,Sales!$C$2:$C$2000,O$4,Sales!$E$2:$E$2000,"Actual"),SUMIFS(Sales!$D$2:$D$2000,Sales!$B$2:$B$2000,$A78,Sales!$C$2:$C$2000,O$4,Sales!$E$2:$E$2000,"Forecast"))</f>
        <v>7</v>
      </c>
      <c r="P82" s="32" t="n">
        <f aca="false">IF(COUNTIFS(Sales!$B$2:$B$2000,$A78,Sales!$C$2:$C$2000,P$4,Sales!$E$2:$E$2000,"Actual")&gt;0,SUMIFS(Sales!$D$2:$D$2000,Sales!$B$2:$B$2000,$A78,Sales!$C$2:$C$2000,P$4,Sales!$E$2:$E$2000,"Actual"),SUMIFS(Sales!$D$2:$D$2000,Sales!$B$2:$B$2000,$A78,Sales!$C$2:$C$2000,P$4,Sales!$E$2:$E$2000,"Forecast"))</f>
        <v>8</v>
      </c>
      <c r="Q82" s="32" t="n">
        <f aca="false">IF(COUNTIFS(Sales!$B$2:$B$2000,$A78,Sales!$C$2:$C$2000,Q$4,Sales!$E$2:$E$2000,"Actual")&gt;0,SUMIFS(Sales!$D$2:$D$2000,Sales!$B$2:$B$2000,$A78,Sales!$C$2:$C$2000,Q$4,Sales!$E$2:$E$2000,"Actual"),SUMIFS(Sales!$D$2:$D$2000,Sales!$B$2:$B$2000,$A78,Sales!$C$2:$C$2000,Q$4,Sales!$E$2:$E$2000,"Forecast"))</f>
        <v>7</v>
      </c>
    </row>
    <row r="83" customFormat="false" ht="15" hidden="false" customHeight="false" outlineLevel="0" collapsed="false">
      <c r="A83" s="16" t="str">
        <f aca="false">$A$78</f>
        <v>Badlands</v>
      </c>
      <c r="B83" s="5" t="s">
        <v>58</v>
      </c>
      <c r="C83" s="33" t="n">
        <f aca="false">C79+C80+C81-C82</f>
        <v>12</v>
      </c>
      <c r="D83" s="33" t="n">
        <f aca="false">D79+D80+D81-D82</f>
        <v>12</v>
      </c>
      <c r="E83" s="33" t="n">
        <f aca="false">E79+E80+E81-E82</f>
        <v>17</v>
      </c>
      <c r="F83" s="33" t="n">
        <f aca="false">F79+F80+F81-F82</f>
        <v>14</v>
      </c>
      <c r="G83" s="33" t="n">
        <f aca="false">G79+G80+G81-G82</f>
        <v>13</v>
      </c>
      <c r="H83" s="33" t="n">
        <f aca="false">H79+H80+H81-H82</f>
        <v>12</v>
      </c>
      <c r="I83" s="33" t="n">
        <f aca="false">I79+I80+I81-I82</f>
        <v>12</v>
      </c>
      <c r="J83" s="33" t="n">
        <f aca="false">J79+J80+J81-J82</f>
        <v>12</v>
      </c>
      <c r="K83" s="33" t="n">
        <f aca="false">K79+K80+K81-K82</f>
        <v>14</v>
      </c>
      <c r="L83" s="33" t="n">
        <f aca="false">L79+L80+L81-L82</f>
        <v>14</v>
      </c>
      <c r="M83" s="33" t="n">
        <f aca="false">M79+M80+M81-M82</f>
        <v>15</v>
      </c>
      <c r="N83" s="33" t="n">
        <f aca="false">N79+N80+N81-N82</f>
        <v>15</v>
      </c>
    </row>
    <row r="84" customFormat="false" ht="15" hidden="false" customHeight="false" outlineLevel="0" collapsed="false">
      <c r="A84" s="16" t="str">
        <f aca="false">$A$78</f>
        <v>Badlands</v>
      </c>
      <c r="B84" s="8" t="s">
        <v>120</v>
      </c>
      <c r="C84" s="10" t="n">
        <f aca="false">AVERAGE(D82:F82)</f>
        <v>7.66666666666667</v>
      </c>
      <c r="D84" s="10" t="n">
        <f aca="false">AVERAGE(E82:G82)</f>
        <v>7.66666666666667</v>
      </c>
      <c r="E84" s="10" t="n">
        <f aca="false">AVERAGE(F82:H82)</f>
        <v>7.66666666666667</v>
      </c>
      <c r="F84" s="10" t="n">
        <f aca="false">AVERAGE(G82:I82)</f>
        <v>7</v>
      </c>
      <c r="G84" s="10" t="n">
        <f aca="false">AVERAGE(H82:J82)</f>
        <v>6.33333333333333</v>
      </c>
      <c r="H84" s="10" t="n">
        <f aca="false">AVERAGE(I82:K82)</f>
        <v>5.66666666666667</v>
      </c>
      <c r="I84" s="10" t="n">
        <f aca="false">AVERAGE(J82:L82)</f>
        <v>5.66666666666667</v>
      </c>
      <c r="J84" s="10" t="n">
        <f aca="false">AVERAGE(K82:M82)</f>
        <v>6</v>
      </c>
      <c r="K84" s="10" t="n">
        <f aca="false">AVERAGE(L82:N82)</f>
        <v>6.66666666666667</v>
      </c>
      <c r="L84" s="10" t="n">
        <f aca="false">AVERAGE(M82:O82)</f>
        <v>7</v>
      </c>
      <c r="M84" s="10" t="n">
        <f aca="false">AVERAGE(N82:P82)</f>
        <v>7.33333333333333</v>
      </c>
      <c r="N84" s="10" t="n">
        <f aca="false">AVERAGE(O82:Q82)</f>
        <v>7.33333333333333</v>
      </c>
    </row>
    <row r="85" customFormat="false" ht="15" hidden="false" customHeight="false" outlineLevel="0" collapsed="false">
      <c r="A85" s="16" t="str">
        <f aca="false">$A$78</f>
        <v>Badlands</v>
      </c>
      <c r="B85" s="8" t="s">
        <v>121</v>
      </c>
      <c r="C85" s="10" t="n">
        <f aca="false">$D$78*C84</f>
        <v>15.3333333333333</v>
      </c>
      <c r="D85" s="10" t="n">
        <f aca="false">$D$78*D84</f>
        <v>15.3333333333333</v>
      </c>
      <c r="E85" s="10" t="n">
        <f aca="false">$D$78*E84</f>
        <v>15.3333333333333</v>
      </c>
      <c r="F85" s="10" t="n">
        <f aca="false">$D$78*F84</f>
        <v>14</v>
      </c>
      <c r="G85" s="10" t="n">
        <f aca="false">$D$78*G84</f>
        <v>12.6666666666667</v>
      </c>
      <c r="H85" s="10" t="n">
        <f aca="false">$D$78*H84</f>
        <v>11.3333333333333</v>
      </c>
      <c r="I85" s="10" t="n">
        <f aca="false">$D$78*I84</f>
        <v>11.3333333333333</v>
      </c>
      <c r="J85" s="10" t="n">
        <f aca="false">$D$78*J84</f>
        <v>12</v>
      </c>
      <c r="K85" s="10" t="n">
        <f aca="false">$D$78*K84</f>
        <v>13.3333333333333</v>
      </c>
      <c r="L85" s="10" t="n">
        <f aca="false">$D$78*L84</f>
        <v>14</v>
      </c>
      <c r="M85" s="10" t="n">
        <f aca="false">$D$78*M84</f>
        <v>14.6666666666667</v>
      </c>
      <c r="N85" s="10" t="n">
        <f aca="false">$D$78*N84</f>
        <v>14.6666666666667</v>
      </c>
    </row>
    <row r="86" customFormat="false" ht="15" hidden="false" customHeight="false" outlineLevel="0" collapsed="false">
      <c r="A86" s="16" t="str">
        <f aca="false">$A$78</f>
        <v>Badlands</v>
      </c>
      <c r="B86" s="5" t="s">
        <v>59</v>
      </c>
      <c r="C86" s="10" t="n">
        <f aca="false">IFERROR(C83/C84,"")</f>
        <v>1.56521739130435</v>
      </c>
      <c r="D86" s="10" t="n">
        <f aca="false">IFERROR(D83/D84,"")</f>
        <v>1.56521739130435</v>
      </c>
      <c r="E86" s="10" t="n">
        <f aca="false">IFERROR(E83/E84,"")</f>
        <v>2.21739130434783</v>
      </c>
      <c r="F86" s="10" t="n">
        <f aca="false">IFERROR(F83/F84,"")</f>
        <v>2</v>
      </c>
      <c r="G86" s="10" t="n">
        <f aca="false">IFERROR(G83/G84,"")</f>
        <v>2.05263157894737</v>
      </c>
      <c r="H86" s="10" t="n">
        <f aca="false">IFERROR(H83/H84,"")</f>
        <v>2.11764705882353</v>
      </c>
      <c r="I86" s="10" t="n">
        <f aca="false">IFERROR(I83/I84,"")</f>
        <v>2.11764705882353</v>
      </c>
      <c r="J86" s="10" t="n">
        <f aca="false">IFERROR(J83/J84,"")</f>
        <v>2</v>
      </c>
      <c r="K86" s="10" t="n">
        <f aca="false">IFERROR(K83/K84,"")</f>
        <v>2.1</v>
      </c>
      <c r="L86" s="10" t="n">
        <f aca="false">IFERROR(L83/L84,"")</f>
        <v>2</v>
      </c>
      <c r="M86" s="10" t="n">
        <f aca="false">IFERROR(M83/M84,"")</f>
        <v>2.04545454545455</v>
      </c>
      <c r="N86" s="10" t="n">
        <f aca="false">IFERROR(N83/N84,"")</f>
        <v>2.04545454545455</v>
      </c>
    </row>
    <row r="87" customFormat="false" ht="15" hidden="false" customHeight="false" outlineLevel="0" collapsed="false">
      <c r="A87" s="16" t="str">
        <f aca="false">$A$78</f>
        <v>Badlands</v>
      </c>
      <c r="B87" s="5" t="s">
        <v>122</v>
      </c>
      <c r="C87" s="33" t="n">
        <f aca="false">IF(C$3+$F$78&lt;=12,INDEX($C$81:$N$81,C$3+$F$78),"")</f>
        <v>5</v>
      </c>
      <c r="D87" s="33" t="n">
        <f aca="false">IF(D$3+$F$78&lt;=12,INDEX($C$81:$N$81,D$3+$F$78),"")</f>
        <v>7</v>
      </c>
      <c r="E87" s="33" t="n">
        <f aca="false">IF(E$3+$F$78&lt;=12,INDEX($C$81:$N$81,E$3+$F$78),"")</f>
        <v>6</v>
      </c>
      <c r="F87" s="33" t="n">
        <f aca="false">IF(F$3+$F$78&lt;=12,INDEX($C$81:$N$81,F$3+$F$78),"")</f>
        <v>6</v>
      </c>
      <c r="G87" s="33" t="n">
        <f aca="false">IF(G$3+$F$78&lt;=12,INDEX($C$81:$N$81,G$3+$F$78),"")</f>
        <v>6</v>
      </c>
      <c r="H87" s="33" t="n">
        <f aca="false">IF(H$3+$F$78&lt;=12,INDEX($C$81:$N$81,H$3+$F$78),"")</f>
        <v>7</v>
      </c>
      <c r="I87" s="33" t="n">
        <f aca="false">IF(I$3+$F$78&lt;=12,INDEX($C$81:$N$81,I$3+$F$78),"")</f>
        <v>6</v>
      </c>
      <c r="J87" s="33" t="n">
        <f aca="false">IF(J$3+$F$78&lt;=12,INDEX($C$81:$N$81,J$3+$F$78),"")</f>
        <v>8</v>
      </c>
      <c r="K87" s="33" t="n">
        <f aca="false">IF(K$3+$F$78&lt;=12,INDEX($C$81:$N$81,K$3+$F$78),"")</f>
        <v>7</v>
      </c>
      <c r="L87" s="33" t="str">
        <f aca="false">IF(L$3+$F$78&lt;=12,INDEX($C$81:$N$81,L$3+$F$78),"")</f>
        <v/>
      </c>
      <c r="M87" s="33" t="str">
        <f aca="false">IF(M$3+$F$78&lt;=12,INDEX($C$81:$N$81,M$3+$F$78),"")</f>
        <v/>
      </c>
      <c r="N87" s="33" t="str">
        <f aca="false">IF(N$3+$F$78&lt;=12,INDEX($C$81:$N$81,N$3+$F$78),"")</f>
        <v/>
      </c>
    </row>
    <row r="88" customFormat="false" ht="15" hidden="false" customHeight="false" outlineLevel="0" collapsed="false">
      <c r="A88" s="16" t="str">
        <f aca="false">$A$78</f>
        <v>Badlands</v>
      </c>
      <c r="B88" s="8" t="s">
        <v>123</v>
      </c>
      <c r="C88" s="30" t="n">
        <f aca="false">SUMIFS(Orders!$E$2:$E$2000,Orders!$C$2:$C$2000,$A78,Orders!$D$2:$D$2000,C$4)</f>
        <v>0</v>
      </c>
      <c r="D88" s="30" t="n">
        <f aca="false">SUMIFS(Orders!$E$2:$E$2000,Orders!$C$2:$C$2000,$A78,Orders!$D$2:$D$2000,D$4)</f>
        <v>0</v>
      </c>
      <c r="E88" s="30" t="n">
        <f aca="false">SUMIFS(Orders!$E$2:$E$2000,Orders!$C$2:$C$2000,$A78,Orders!$D$2:$D$2000,E$4)</f>
        <v>0</v>
      </c>
      <c r="F88" s="30" t="n">
        <f aca="false">SUMIFS(Orders!$E$2:$E$2000,Orders!$C$2:$C$2000,$A78,Orders!$D$2:$D$2000,F$4)</f>
        <v>0</v>
      </c>
      <c r="G88" s="30" t="n">
        <f aca="false">SUMIFS(Orders!$E$2:$E$2000,Orders!$C$2:$C$2000,$A78,Orders!$D$2:$D$2000,G$4)</f>
        <v>0</v>
      </c>
      <c r="H88" s="30" t="n">
        <f aca="false">SUMIFS(Orders!$E$2:$E$2000,Orders!$C$2:$C$2000,$A78,Orders!$D$2:$D$2000,H$4)</f>
        <v>0</v>
      </c>
      <c r="I88" s="30" t="n">
        <f aca="false">SUMIFS(Orders!$E$2:$E$2000,Orders!$C$2:$C$2000,$A78,Orders!$D$2:$D$2000,I$4)</f>
        <v>0</v>
      </c>
      <c r="J88" s="30" t="n">
        <f aca="false">SUMIFS(Orders!$E$2:$E$2000,Orders!$C$2:$C$2000,$A78,Orders!$D$2:$D$2000,J$4)</f>
        <v>0</v>
      </c>
      <c r="K88" s="30" t="n">
        <f aca="false">SUMIFS(Orders!$E$2:$E$2000,Orders!$C$2:$C$2000,$A78,Orders!$D$2:$D$2000,K$4)</f>
        <v>0</v>
      </c>
      <c r="L88" s="30" t="n">
        <f aca="false">SUMIFS(Orders!$E$2:$E$2000,Orders!$C$2:$C$2000,$A78,Orders!$D$2:$D$2000,L$4)</f>
        <v>0</v>
      </c>
      <c r="M88" s="30" t="n">
        <f aca="false">SUMIFS(Orders!$E$2:$E$2000,Orders!$C$2:$C$2000,$A78,Orders!$D$2:$D$2000,M$4)</f>
        <v>0</v>
      </c>
      <c r="N88" s="30" t="n">
        <f aca="false">SUMIFS(Orders!$E$2:$E$2000,Orders!$C$2:$C$2000,$A78,Orders!$D$2:$D$2000,N$4)</f>
        <v>0</v>
      </c>
    </row>
    <row r="90" customFormat="false" ht="15" hidden="false" customHeight="false" outlineLevel="0" collapsed="false">
      <c r="A90" s="17" t="str">
        <f aca="false">INDEX(Settings!$B$2:$B$100,8)</f>
        <v>Wildtrak</v>
      </c>
      <c r="B90" s="17" t="str">
        <f aca="false">INDEX(Settings!$A$2:$A$100,8)&amp;" - "&amp;A90</f>
        <v>Bronco - Wildtrak</v>
      </c>
      <c r="C90" s="17" t="s">
        <v>43</v>
      </c>
      <c r="D90" s="17" t="n">
        <f aca="false">INDEX(Settings!$C$2:$C$100,MATCH($A90,Settings!$B$2:$B$100,0))</f>
        <v>2</v>
      </c>
      <c r="E90" s="17" t="s">
        <v>115</v>
      </c>
      <c r="F90" s="17" t="n">
        <f aca="false">INDEX(Settings!$D$2:$D$100,MATCH($A90,Settings!$B$2:$B$100,0))</f>
        <v>3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</row>
    <row r="91" customFormat="false" ht="15" hidden="false" customHeight="false" outlineLevel="0" collapsed="false">
      <c r="A91" s="16" t="str">
        <f aca="false">$A$90</f>
        <v>Wildtrak</v>
      </c>
      <c r="B91" s="8" t="s">
        <v>116</v>
      </c>
      <c r="C91" s="30" t="n">
        <f aca="false">SUMIFS('Opening Stock'!$D$2:$D$1000,'Opening Stock'!$B$2:$B$1000,$A90)</f>
        <v>9</v>
      </c>
      <c r="D91" s="30" t="n">
        <f aca="false">C95</f>
        <v>9</v>
      </c>
      <c r="E91" s="30" t="n">
        <f aca="false">D95</f>
        <v>4</v>
      </c>
      <c r="F91" s="30" t="n">
        <f aca="false">E95</f>
        <v>4</v>
      </c>
      <c r="G91" s="30" t="n">
        <f aca="false">F95</f>
        <v>8</v>
      </c>
      <c r="H91" s="30" t="n">
        <f aca="false">G95</f>
        <v>9</v>
      </c>
      <c r="I91" s="30" t="n">
        <f aca="false">H95</f>
        <v>7</v>
      </c>
      <c r="J91" s="30" t="n">
        <f aca="false">I95</f>
        <v>6</v>
      </c>
      <c r="K91" s="30" t="n">
        <f aca="false">J95</f>
        <v>7</v>
      </c>
      <c r="L91" s="30" t="n">
        <f aca="false">K95</f>
        <v>8</v>
      </c>
      <c r="M91" s="30" t="n">
        <f aca="false">L95</f>
        <v>8</v>
      </c>
      <c r="N91" s="30" t="n">
        <f aca="false">M95</f>
        <v>9</v>
      </c>
    </row>
    <row r="92" customFormat="false" ht="15" hidden="false" customHeight="false" outlineLevel="0" collapsed="false">
      <c r="A92" s="16" t="str">
        <f aca="false">$A$90</f>
        <v>Wildtrak</v>
      </c>
      <c r="B92" s="8" t="s">
        <v>117</v>
      </c>
      <c r="C92" s="30" t="n">
        <f aca="false">SUMIFS(Orders!$E$2:$E$2000,Orders!$C$2:$C$2000,$A90,Orders!$H$2:$H$2000,C$4)</f>
        <v>4</v>
      </c>
      <c r="D92" s="30" t="n">
        <f aca="false">SUMIFS(Orders!$E$2:$E$2000,Orders!$C$2:$C$2000,$A90,Orders!$H$2:$H$2000,D$4)</f>
        <v>0</v>
      </c>
      <c r="E92" s="30" t="n">
        <f aca="false">SUMIFS(Orders!$E$2:$E$2000,Orders!$C$2:$C$2000,$A90,Orders!$H$2:$H$2000,E$4)</f>
        <v>4</v>
      </c>
      <c r="F92" s="30" t="n">
        <f aca="false">SUMIFS(Orders!$E$2:$E$2000,Orders!$C$2:$C$2000,$A90,Orders!$H$2:$H$2000,F$4)</f>
        <v>0</v>
      </c>
      <c r="G92" s="30" t="n">
        <f aca="false">SUMIFS(Orders!$E$2:$E$2000,Orders!$C$2:$C$2000,$A90,Orders!$H$2:$H$2000,G$4)</f>
        <v>5</v>
      </c>
      <c r="H92" s="30" t="n">
        <f aca="false">SUMIFS(Orders!$E$2:$E$2000,Orders!$C$2:$C$2000,$A90,Orders!$H$2:$H$2000,H$4)</f>
        <v>0</v>
      </c>
      <c r="I92" s="30" t="n">
        <f aca="false">SUMIFS(Orders!$E$2:$E$2000,Orders!$C$2:$C$2000,$A90,Orders!$H$2:$H$2000,I$4)</f>
        <v>0</v>
      </c>
      <c r="J92" s="30" t="n">
        <f aca="false">SUMIFS(Orders!$E$2:$E$2000,Orders!$C$2:$C$2000,$A90,Orders!$H$2:$H$2000,J$4)</f>
        <v>0</v>
      </c>
      <c r="K92" s="30" t="n">
        <f aca="false">SUMIFS(Orders!$E$2:$E$2000,Orders!$C$2:$C$2000,$A90,Orders!$H$2:$H$2000,K$4)</f>
        <v>0</v>
      </c>
      <c r="L92" s="30" t="n">
        <f aca="false">SUMIFS(Orders!$E$2:$E$2000,Orders!$C$2:$C$2000,$A90,Orders!$H$2:$H$2000,L$4)</f>
        <v>0</v>
      </c>
      <c r="M92" s="30" t="n">
        <f aca="false">SUMIFS(Orders!$E$2:$E$2000,Orders!$C$2:$C$2000,$A90,Orders!$H$2:$H$2000,M$4)</f>
        <v>0</v>
      </c>
      <c r="N92" s="30" t="n">
        <f aca="false">SUMIFS(Orders!$E$2:$E$2000,Orders!$C$2:$C$2000,$A90,Orders!$H$2:$H$2000,N$4)</f>
        <v>0</v>
      </c>
    </row>
    <row r="93" customFormat="false" ht="15" hidden="false" customHeight="false" outlineLevel="0" collapsed="false">
      <c r="A93" s="16" t="str">
        <f aca="false">$A$90</f>
        <v>Wildtrak</v>
      </c>
      <c r="B93" s="8" t="s">
        <v>118</v>
      </c>
      <c r="C93" s="31" t="n">
        <f aca="false">IF(C$3&lt;=$F$90,0,MAX(0,ROUNDUP(C97-(C91+C92-C94),0)))</f>
        <v>0</v>
      </c>
      <c r="D93" s="31" t="n">
        <f aca="false">IF(D$3&lt;=$F$90,0,MAX(0,ROUNDUP(D97-(D91+D92-D94),0)))</f>
        <v>0</v>
      </c>
      <c r="E93" s="31" t="n">
        <f aca="false">IF(E$3&lt;=$F$90,0,MAX(0,ROUNDUP(E97-(E91+E92-E94),0)))</f>
        <v>0</v>
      </c>
      <c r="F93" s="30" t="n">
        <f aca="false">IF(F$3&lt;=$F$90,0,MAX(0,ROUNDUP(F97-(F91+F92-F94),0)))</f>
        <v>9</v>
      </c>
      <c r="G93" s="30" t="n">
        <f aca="false">IF(G$3&lt;=$F$90,0,MAX(0,ROUNDUP(G97-(G91+G92-G94),0)))</f>
        <v>0</v>
      </c>
      <c r="H93" s="30" t="n">
        <f aca="false">IF(H$3&lt;=$F$90,0,MAX(0,ROUNDUP(H97-(H91+H92-H94),0)))</f>
        <v>2</v>
      </c>
      <c r="I93" s="30" t="n">
        <f aca="false">IF(I$3&lt;=$F$90,0,MAX(0,ROUNDUP(I97-(I91+I92-I94),0)))</f>
        <v>3</v>
      </c>
      <c r="J93" s="30" t="n">
        <f aca="false">IF(J$3&lt;=$F$90,0,MAX(0,ROUNDUP(J97-(J91+J92-J94),0)))</f>
        <v>4</v>
      </c>
      <c r="K93" s="30" t="n">
        <f aca="false">IF(K$3&lt;=$F$90,0,MAX(0,ROUNDUP(K97-(K91+K92-K94),0)))</f>
        <v>4</v>
      </c>
      <c r="L93" s="30" t="n">
        <f aca="false">IF(L$3&lt;=$F$90,0,MAX(0,ROUNDUP(L97-(L91+L92-L94),0)))</f>
        <v>3</v>
      </c>
      <c r="M93" s="30" t="n">
        <f aca="false">IF(M$3&lt;=$F$90,0,MAX(0,ROUNDUP(M97-(M91+M92-M94),0)))</f>
        <v>5</v>
      </c>
      <c r="N93" s="30" t="n">
        <f aca="false">IF(N$3&lt;=$F$90,0,MAX(0,ROUNDUP(N97-(N91+N92-N94),0)))</f>
        <v>4</v>
      </c>
    </row>
    <row r="94" customFormat="false" ht="15" hidden="false" customHeight="false" outlineLevel="0" collapsed="false">
      <c r="A94" s="16" t="str">
        <f aca="false">$A$90</f>
        <v>Wildtrak</v>
      </c>
      <c r="B94" s="8" t="s">
        <v>119</v>
      </c>
      <c r="C94" s="30" t="n">
        <f aca="false">IF(COUNTIFS(Sales!$B$2:$B$2000,$A90,Sales!$C$2:$C$2000,C$4,Sales!$E$2:$E$2000,"Actual")&gt;0,SUMIFS(Sales!$D$2:$D$2000,Sales!$B$2:$B$2000,$A90,Sales!$C$2:$C$2000,C$4,Sales!$E$2:$E$2000,"Actual"),SUMIFS(Sales!$D$2:$D$2000,Sales!$B$2:$B$2000,$A90,Sales!$C$2:$C$2000,C$4,Sales!$E$2:$E$2000,"Forecast"))</f>
        <v>4</v>
      </c>
      <c r="D94" s="30" t="n">
        <f aca="false">IF(COUNTIFS(Sales!$B$2:$B$2000,$A90,Sales!$C$2:$C$2000,D$4,Sales!$E$2:$E$2000,"Actual")&gt;0,SUMIFS(Sales!$D$2:$D$2000,Sales!$B$2:$B$2000,$A90,Sales!$C$2:$C$2000,D$4,Sales!$E$2:$E$2000,"Actual"),SUMIFS(Sales!$D$2:$D$2000,Sales!$B$2:$B$2000,$A90,Sales!$C$2:$C$2000,D$4,Sales!$E$2:$E$2000,"Forecast"))</f>
        <v>5</v>
      </c>
      <c r="E94" s="30" t="n">
        <f aca="false">IF(COUNTIFS(Sales!$B$2:$B$2000,$A90,Sales!$C$2:$C$2000,E$4,Sales!$E$2:$E$2000,"Actual")&gt;0,SUMIFS(Sales!$D$2:$D$2000,Sales!$B$2:$B$2000,$A90,Sales!$C$2:$C$2000,E$4,Sales!$E$2:$E$2000,"Actual"),SUMIFS(Sales!$D$2:$D$2000,Sales!$B$2:$B$2000,$A90,Sales!$C$2:$C$2000,E$4,Sales!$E$2:$E$2000,"Forecast"))</f>
        <v>4</v>
      </c>
      <c r="F94" s="30" t="n">
        <f aca="false">IF(COUNTIFS(Sales!$B$2:$B$2000,$A90,Sales!$C$2:$C$2000,F$4,Sales!$E$2:$E$2000,"Actual")&gt;0,SUMIFS(Sales!$D$2:$D$2000,Sales!$B$2:$B$2000,$A90,Sales!$C$2:$C$2000,F$4,Sales!$E$2:$E$2000,"Actual"),SUMIFS(Sales!$D$2:$D$2000,Sales!$B$2:$B$2000,$A90,Sales!$C$2:$C$2000,F$4,Sales!$E$2:$E$2000,"Forecast"))</f>
        <v>5</v>
      </c>
      <c r="G94" s="30" t="n">
        <f aca="false">IF(COUNTIFS(Sales!$B$2:$B$2000,$A90,Sales!$C$2:$C$2000,G$4,Sales!$E$2:$E$2000,"Actual")&gt;0,SUMIFS(Sales!$D$2:$D$2000,Sales!$B$2:$B$2000,$A90,Sales!$C$2:$C$2000,G$4,Sales!$E$2:$E$2000,"Actual"),SUMIFS(Sales!$D$2:$D$2000,Sales!$B$2:$B$2000,$A90,Sales!$C$2:$C$2000,G$4,Sales!$E$2:$E$2000,"Forecast"))</f>
        <v>4</v>
      </c>
      <c r="H94" s="30" t="n">
        <f aca="false">IF(COUNTIFS(Sales!$B$2:$B$2000,$A90,Sales!$C$2:$C$2000,H$4,Sales!$E$2:$E$2000,"Actual")&gt;0,SUMIFS(Sales!$D$2:$D$2000,Sales!$B$2:$B$2000,$A90,Sales!$C$2:$C$2000,H$4,Sales!$E$2:$E$2000,"Actual"),SUMIFS(Sales!$D$2:$D$2000,Sales!$B$2:$B$2000,$A90,Sales!$C$2:$C$2000,H$4,Sales!$E$2:$E$2000,"Forecast"))</f>
        <v>4</v>
      </c>
      <c r="I94" s="30" t="n">
        <f aca="false">IF(COUNTIFS(Sales!$B$2:$B$2000,$A90,Sales!$C$2:$C$2000,I$4,Sales!$E$2:$E$2000,"Actual")&gt;0,SUMIFS(Sales!$D$2:$D$2000,Sales!$B$2:$B$2000,$A90,Sales!$C$2:$C$2000,I$4,Sales!$E$2:$E$2000,"Actual"),SUMIFS(Sales!$D$2:$D$2000,Sales!$B$2:$B$2000,$A90,Sales!$C$2:$C$2000,I$4,Sales!$E$2:$E$2000,"Forecast"))</f>
        <v>4</v>
      </c>
      <c r="J94" s="30" t="n">
        <f aca="false">IF(COUNTIFS(Sales!$B$2:$B$2000,$A90,Sales!$C$2:$C$2000,J$4,Sales!$E$2:$E$2000,"Actual")&gt;0,SUMIFS(Sales!$D$2:$D$2000,Sales!$B$2:$B$2000,$A90,Sales!$C$2:$C$2000,J$4,Sales!$E$2:$E$2000,"Actual"),SUMIFS(Sales!$D$2:$D$2000,Sales!$B$2:$B$2000,$A90,Sales!$C$2:$C$2000,J$4,Sales!$E$2:$E$2000,"Forecast"))</f>
        <v>3</v>
      </c>
      <c r="K94" s="30" t="n">
        <f aca="false">IF(COUNTIFS(Sales!$B$2:$B$2000,$A90,Sales!$C$2:$C$2000,K$4,Sales!$E$2:$E$2000,"Actual")&gt;0,SUMIFS(Sales!$D$2:$D$2000,Sales!$B$2:$B$2000,$A90,Sales!$C$2:$C$2000,K$4,Sales!$E$2:$E$2000,"Actual"),SUMIFS(Sales!$D$2:$D$2000,Sales!$B$2:$B$2000,$A90,Sales!$C$2:$C$2000,K$4,Sales!$E$2:$E$2000,"Forecast"))</f>
        <v>3</v>
      </c>
      <c r="L94" s="30" t="n">
        <f aca="false">IF(COUNTIFS(Sales!$B$2:$B$2000,$A90,Sales!$C$2:$C$2000,L$4,Sales!$E$2:$E$2000,"Actual")&gt;0,SUMIFS(Sales!$D$2:$D$2000,Sales!$B$2:$B$2000,$A90,Sales!$C$2:$C$2000,L$4,Sales!$E$2:$E$2000,"Actual"),SUMIFS(Sales!$D$2:$D$2000,Sales!$B$2:$B$2000,$A90,Sales!$C$2:$C$2000,L$4,Sales!$E$2:$E$2000,"Forecast"))</f>
        <v>3</v>
      </c>
      <c r="M94" s="30" t="n">
        <f aca="false">IF(COUNTIFS(Sales!$B$2:$B$2000,$A90,Sales!$C$2:$C$2000,M$4,Sales!$E$2:$E$2000,"Actual")&gt;0,SUMIFS(Sales!$D$2:$D$2000,Sales!$B$2:$B$2000,$A90,Sales!$C$2:$C$2000,M$4,Sales!$E$2:$E$2000,"Actual"),SUMIFS(Sales!$D$2:$D$2000,Sales!$B$2:$B$2000,$A90,Sales!$C$2:$C$2000,M$4,Sales!$E$2:$E$2000,"Forecast"))</f>
        <v>4</v>
      </c>
      <c r="N94" s="30" t="n">
        <f aca="false">IF(COUNTIFS(Sales!$B$2:$B$2000,$A90,Sales!$C$2:$C$2000,N$4,Sales!$E$2:$E$2000,"Actual")&gt;0,SUMIFS(Sales!$D$2:$D$2000,Sales!$B$2:$B$2000,$A90,Sales!$C$2:$C$2000,N$4,Sales!$E$2:$E$2000,"Actual"),SUMIFS(Sales!$D$2:$D$2000,Sales!$B$2:$B$2000,$A90,Sales!$C$2:$C$2000,N$4,Sales!$E$2:$E$2000,"Forecast"))</f>
        <v>4</v>
      </c>
      <c r="O94" s="32" t="n">
        <f aca="false">IF(COUNTIFS(Sales!$B$2:$B$2000,$A90,Sales!$C$2:$C$2000,O$4,Sales!$E$2:$E$2000,"Actual")&gt;0,SUMIFS(Sales!$D$2:$D$2000,Sales!$B$2:$B$2000,$A90,Sales!$C$2:$C$2000,O$4,Sales!$E$2:$E$2000,"Actual"),SUMIFS(Sales!$D$2:$D$2000,Sales!$B$2:$B$2000,$A90,Sales!$C$2:$C$2000,O$4,Sales!$E$2:$E$2000,"Forecast"))</f>
        <v>4</v>
      </c>
      <c r="P94" s="32" t="n">
        <f aca="false">IF(COUNTIFS(Sales!$B$2:$B$2000,$A90,Sales!$C$2:$C$2000,P$4,Sales!$E$2:$E$2000,"Actual")&gt;0,SUMIFS(Sales!$D$2:$D$2000,Sales!$B$2:$B$2000,$A90,Sales!$C$2:$C$2000,P$4,Sales!$E$2:$E$2000,"Actual"),SUMIFS(Sales!$D$2:$D$2000,Sales!$B$2:$B$2000,$A90,Sales!$C$2:$C$2000,P$4,Sales!$E$2:$E$2000,"Forecast"))</f>
        <v>5</v>
      </c>
      <c r="Q94" s="32" t="n">
        <f aca="false">IF(COUNTIFS(Sales!$B$2:$B$2000,$A90,Sales!$C$2:$C$2000,Q$4,Sales!$E$2:$E$2000,"Actual")&gt;0,SUMIFS(Sales!$D$2:$D$2000,Sales!$B$2:$B$2000,$A90,Sales!$C$2:$C$2000,Q$4,Sales!$E$2:$E$2000,"Actual"),SUMIFS(Sales!$D$2:$D$2000,Sales!$B$2:$B$2000,$A90,Sales!$C$2:$C$2000,Q$4,Sales!$E$2:$E$2000,"Forecast"))</f>
        <v>4</v>
      </c>
    </row>
    <row r="95" customFormat="false" ht="15" hidden="false" customHeight="false" outlineLevel="0" collapsed="false">
      <c r="A95" s="16" t="str">
        <f aca="false">$A$90</f>
        <v>Wildtrak</v>
      </c>
      <c r="B95" s="5" t="s">
        <v>58</v>
      </c>
      <c r="C95" s="33" t="n">
        <f aca="false">C91+C92+C93-C94</f>
        <v>9</v>
      </c>
      <c r="D95" s="33" t="n">
        <f aca="false">D91+D92+D93-D94</f>
        <v>4</v>
      </c>
      <c r="E95" s="33" t="n">
        <f aca="false">E91+E92+E93-E94</f>
        <v>4</v>
      </c>
      <c r="F95" s="33" t="n">
        <f aca="false">F91+F92+F93-F94</f>
        <v>8</v>
      </c>
      <c r="G95" s="33" t="n">
        <f aca="false">G91+G92+G93-G94</f>
        <v>9</v>
      </c>
      <c r="H95" s="33" t="n">
        <f aca="false">H91+H92+H93-H94</f>
        <v>7</v>
      </c>
      <c r="I95" s="33" t="n">
        <f aca="false">I91+I92+I93-I94</f>
        <v>6</v>
      </c>
      <c r="J95" s="33" t="n">
        <f aca="false">J91+J92+J93-J94</f>
        <v>7</v>
      </c>
      <c r="K95" s="33" t="n">
        <f aca="false">K91+K92+K93-K94</f>
        <v>8</v>
      </c>
      <c r="L95" s="33" t="n">
        <f aca="false">L91+L92+L93-L94</f>
        <v>8</v>
      </c>
      <c r="M95" s="33" t="n">
        <f aca="false">M91+M92+M93-M94</f>
        <v>9</v>
      </c>
      <c r="N95" s="33" t="n">
        <f aca="false">N91+N92+N93-N94</f>
        <v>9</v>
      </c>
    </row>
    <row r="96" customFormat="false" ht="15" hidden="false" customHeight="false" outlineLevel="0" collapsed="false">
      <c r="A96" s="16" t="str">
        <f aca="false">$A$90</f>
        <v>Wildtrak</v>
      </c>
      <c r="B96" s="8" t="s">
        <v>120</v>
      </c>
      <c r="C96" s="10" t="n">
        <f aca="false">AVERAGE(D94:F94)</f>
        <v>4.66666666666667</v>
      </c>
      <c r="D96" s="10" t="n">
        <f aca="false">AVERAGE(E94:G94)</f>
        <v>4.33333333333333</v>
      </c>
      <c r="E96" s="10" t="n">
        <f aca="false">AVERAGE(F94:H94)</f>
        <v>4.33333333333333</v>
      </c>
      <c r="F96" s="10" t="n">
        <f aca="false">AVERAGE(G94:I94)</f>
        <v>4</v>
      </c>
      <c r="G96" s="10" t="n">
        <f aca="false">AVERAGE(H94:J94)</f>
        <v>3.66666666666667</v>
      </c>
      <c r="H96" s="10" t="n">
        <f aca="false">AVERAGE(I94:K94)</f>
        <v>3.33333333333333</v>
      </c>
      <c r="I96" s="10" t="n">
        <f aca="false">AVERAGE(J94:L94)</f>
        <v>3</v>
      </c>
      <c r="J96" s="10" t="n">
        <f aca="false">AVERAGE(K94:M94)</f>
        <v>3.33333333333333</v>
      </c>
      <c r="K96" s="10" t="n">
        <f aca="false">AVERAGE(L94:N94)</f>
        <v>3.66666666666667</v>
      </c>
      <c r="L96" s="10" t="n">
        <f aca="false">AVERAGE(M94:O94)</f>
        <v>4</v>
      </c>
      <c r="M96" s="10" t="n">
        <f aca="false">AVERAGE(N94:P94)</f>
        <v>4.33333333333333</v>
      </c>
      <c r="N96" s="10" t="n">
        <f aca="false">AVERAGE(O94:Q94)</f>
        <v>4.33333333333333</v>
      </c>
    </row>
    <row r="97" customFormat="false" ht="15" hidden="false" customHeight="false" outlineLevel="0" collapsed="false">
      <c r="A97" s="16" t="str">
        <f aca="false">$A$90</f>
        <v>Wildtrak</v>
      </c>
      <c r="B97" s="8" t="s">
        <v>121</v>
      </c>
      <c r="C97" s="10" t="n">
        <f aca="false">$D$90*C96</f>
        <v>9.33333333333333</v>
      </c>
      <c r="D97" s="10" t="n">
        <f aca="false">$D$90*D96</f>
        <v>8.66666666666667</v>
      </c>
      <c r="E97" s="10" t="n">
        <f aca="false">$D$90*E96</f>
        <v>8.66666666666667</v>
      </c>
      <c r="F97" s="10" t="n">
        <f aca="false">$D$90*F96</f>
        <v>8</v>
      </c>
      <c r="G97" s="10" t="n">
        <f aca="false">$D$90*G96</f>
        <v>7.33333333333333</v>
      </c>
      <c r="H97" s="10" t="n">
        <f aca="false">$D$90*H96</f>
        <v>6.66666666666667</v>
      </c>
      <c r="I97" s="10" t="n">
        <f aca="false">$D$90*I96</f>
        <v>6</v>
      </c>
      <c r="J97" s="10" t="n">
        <f aca="false">$D$90*J96</f>
        <v>6.66666666666667</v>
      </c>
      <c r="K97" s="10" t="n">
        <f aca="false">$D$90*K96</f>
        <v>7.33333333333333</v>
      </c>
      <c r="L97" s="10" t="n">
        <f aca="false">$D$90*L96</f>
        <v>8</v>
      </c>
      <c r="M97" s="10" t="n">
        <f aca="false">$D$90*M96</f>
        <v>8.66666666666667</v>
      </c>
      <c r="N97" s="10" t="n">
        <f aca="false">$D$90*N96</f>
        <v>8.66666666666667</v>
      </c>
    </row>
    <row r="98" customFormat="false" ht="15" hidden="false" customHeight="false" outlineLevel="0" collapsed="false">
      <c r="A98" s="16" t="str">
        <f aca="false">$A$90</f>
        <v>Wildtrak</v>
      </c>
      <c r="B98" s="5" t="s">
        <v>59</v>
      </c>
      <c r="C98" s="10" t="n">
        <f aca="false">IFERROR(C95/C96,"")</f>
        <v>1.92857142857143</v>
      </c>
      <c r="D98" s="10" t="n">
        <f aca="false">IFERROR(D95/D96,"")</f>
        <v>0.923076923076923</v>
      </c>
      <c r="E98" s="10" t="n">
        <f aca="false">IFERROR(E95/E96,"")</f>
        <v>0.923076923076923</v>
      </c>
      <c r="F98" s="10" t="n">
        <f aca="false">IFERROR(F95/F96,"")</f>
        <v>2</v>
      </c>
      <c r="G98" s="10" t="n">
        <f aca="false">IFERROR(G95/G96,"")</f>
        <v>2.45454545454545</v>
      </c>
      <c r="H98" s="10" t="n">
        <f aca="false">IFERROR(H95/H96,"")</f>
        <v>2.1</v>
      </c>
      <c r="I98" s="10" t="n">
        <f aca="false">IFERROR(I95/I96,"")</f>
        <v>2</v>
      </c>
      <c r="J98" s="10" t="n">
        <f aca="false">IFERROR(J95/J96,"")</f>
        <v>2.1</v>
      </c>
      <c r="K98" s="10" t="n">
        <f aca="false">IFERROR(K95/K96,"")</f>
        <v>2.18181818181818</v>
      </c>
      <c r="L98" s="10" t="n">
        <f aca="false">IFERROR(L95/L96,"")</f>
        <v>2</v>
      </c>
      <c r="M98" s="10" t="n">
        <f aca="false">IFERROR(M95/M96,"")</f>
        <v>2.07692307692308</v>
      </c>
      <c r="N98" s="10" t="n">
        <f aca="false">IFERROR(N95/N96,"")</f>
        <v>2.07692307692308</v>
      </c>
    </row>
    <row r="99" customFormat="false" ht="15" hidden="false" customHeight="false" outlineLevel="0" collapsed="false">
      <c r="A99" s="16" t="str">
        <f aca="false">$A$90</f>
        <v>Wildtrak</v>
      </c>
      <c r="B99" s="5" t="s">
        <v>122</v>
      </c>
      <c r="C99" s="33" t="n">
        <f aca="false">IF(C$3+$F$90&lt;=12,INDEX($C$93:$N$93,C$3+$F$90),"")</f>
        <v>9</v>
      </c>
      <c r="D99" s="33" t="n">
        <f aca="false">IF(D$3+$F$90&lt;=12,INDEX($C$93:$N$93,D$3+$F$90),"")</f>
        <v>0</v>
      </c>
      <c r="E99" s="33" t="n">
        <f aca="false">IF(E$3+$F$90&lt;=12,INDEX($C$93:$N$93,E$3+$F$90),"")</f>
        <v>2</v>
      </c>
      <c r="F99" s="33" t="n">
        <f aca="false">IF(F$3+$F$90&lt;=12,INDEX($C$93:$N$93,F$3+$F$90),"")</f>
        <v>3</v>
      </c>
      <c r="G99" s="33" t="n">
        <f aca="false">IF(G$3+$F$90&lt;=12,INDEX($C$93:$N$93,G$3+$F$90),"")</f>
        <v>4</v>
      </c>
      <c r="H99" s="33" t="n">
        <f aca="false">IF(H$3+$F$90&lt;=12,INDEX($C$93:$N$93,H$3+$F$90),"")</f>
        <v>4</v>
      </c>
      <c r="I99" s="33" t="n">
        <f aca="false">IF(I$3+$F$90&lt;=12,INDEX($C$93:$N$93,I$3+$F$90),"")</f>
        <v>3</v>
      </c>
      <c r="J99" s="33" t="n">
        <f aca="false">IF(J$3+$F$90&lt;=12,INDEX($C$93:$N$93,J$3+$F$90),"")</f>
        <v>5</v>
      </c>
      <c r="K99" s="33" t="n">
        <f aca="false">IF(K$3+$F$90&lt;=12,INDEX($C$93:$N$93,K$3+$F$90),"")</f>
        <v>4</v>
      </c>
      <c r="L99" s="33" t="str">
        <f aca="false">IF(L$3+$F$90&lt;=12,INDEX($C$93:$N$93,L$3+$F$90),"")</f>
        <v/>
      </c>
      <c r="M99" s="33" t="str">
        <f aca="false">IF(M$3+$F$90&lt;=12,INDEX($C$93:$N$93,M$3+$F$90),"")</f>
        <v/>
      </c>
      <c r="N99" s="33" t="str">
        <f aca="false">IF(N$3+$F$90&lt;=12,INDEX($C$93:$N$93,N$3+$F$90),"")</f>
        <v/>
      </c>
    </row>
    <row r="100" customFormat="false" ht="15" hidden="false" customHeight="false" outlineLevel="0" collapsed="false">
      <c r="A100" s="16" t="str">
        <f aca="false">$A$90</f>
        <v>Wildtrak</v>
      </c>
      <c r="B100" s="8" t="s">
        <v>123</v>
      </c>
      <c r="C100" s="30" t="n">
        <f aca="false">SUMIFS(Orders!$E$2:$E$2000,Orders!$C$2:$C$2000,$A90,Orders!$D$2:$D$2000,C$4)</f>
        <v>0</v>
      </c>
      <c r="D100" s="30" t="n">
        <f aca="false">SUMIFS(Orders!$E$2:$E$2000,Orders!$C$2:$C$2000,$A90,Orders!$D$2:$D$2000,D$4)</f>
        <v>0</v>
      </c>
      <c r="E100" s="30" t="n">
        <f aca="false">SUMIFS(Orders!$E$2:$E$2000,Orders!$C$2:$C$2000,$A90,Orders!$D$2:$D$2000,E$4)</f>
        <v>0</v>
      </c>
      <c r="F100" s="30" t="n">
        <f aca="false">SUMIFS(Orders!$E$2:$E$2000,Orders!$C$2:$C$2000,$A90,Orders!$D$2:$D$2000,F$4)</f>
        <v>0</v>
      </c>
      <c r="G100" s="30" t="n">
        <f aca="false">SUMIFS(Orders!$E$2:$E$2000,Orders!$C$2:$C$2000,$A90,Orders!$D$2:$D$2000,G$4)</f>
        <v>0</v>
      </c>
      <c r="H100" s="30" t="n">
        <f aca="false">SUMIFS(Orders!$E$2:$E$2000,Orders!$C$2:$C$2000,$A90,Orders!$D$2:$D$2000,H$4)</f>
        <v>0</v>
      </c>
      <c r="I100" s="30" t="n">
        <f aca="false">SUMIFS(Orders!$E$2:$E$2000,Orders!$C$2:$C$2000,$A90,Orders!$D$2:$D$2000,I$4)</f>
        <v>0</v>
      </c>
      <c r="J100" s="30" t="n">
        <f aca="false">SUMIFS(Orders!$E$2:$E$2000,Orders!$C$2:$C$2000,$A90,Orders!$D$2:$D$2000,J$4)</f>
        <v>0</v>
      </c>
      <c r="K100" s="30" t="n">
        <f aca="false">SUMIFS(Orders!$E$2:$E$2000,Orders!$C$2:$C$2000,$A90,Orders!$D$2:$D$2000,K$4)</f>
        <v>0</v>
      </c>
      <c r="L100" s="30" t="n">
        <f aca="false">SUMIFS(Orders!$E$2:$E$2000,Orders!$C$2:$C$2000,$A90,Orders!$D$2:$D$2000,L$4)</f>
        <v>0</v>
      </c>
      <c r="M100" s="30" t="n">
        <f aca="false">SUMIFS(Orders!$E$2:$E$2000,Orders!$C$2:$C$2000,$A90,Orders!$D$2:$D$2000,M$4)</f>
        <v>0</v>
      </c>
      <c r="N100" s="30" t="n">
        <f aca="false">SUMIFS(Orders!$E$2:$E$2000,Orders!$C$2:$C$2000,$A90,Orders!$D$2:$D$2000,N$4)</f>
        <v>0</v>
      </c>
    </row>
  </sheetData>
  <conditionalFormatting sqref="C14:N14">
    <cfRule type="expression" priority="2" aboveAverage="0" equalAverage="0" bottom="0" percent="0" rank="0" text="" dxfId="0">
      <formula>AND(C14&lt;&gt;"",C14&lt;$D$6)</formula>
    </cfRule>
    <cfRule type="expression" priority="3" aboveAverage="0" equalAverage="0" bottom="0" percent="0" rank="0" text="" dxfId="1">
      <formula>AND(C14&lt;&gt;"",C14&gt;$D$6+1)</formula>
    </cfRule>
    <cfRule type="expression" priority="4" aboveAverage="0" equalAverage="0" bottom="0" percent="0" rank="0" text="" dxfId="2">
      <formula>AND(C14&lt;&gt;"",C14&gt;=$D$6,C14&lt;=$D$6+1)</formula>
    </cfRule>
  </conditionalFormatting>
  <conditionalFormatting sqref="C26:N26">
    <cfRule type="expression" priority="5" aboveAverage="0" equalAverage="0" bottom="0" percent="0" rank="0" text="" dxfId="0">
      <formula>AND(C26&lt;&gt;"",C26&lt;$D$18)</formula>
    </cfRule>
    <cfRule type="expression" priority="6" aboveAverage="0" equalAverage="0" bottom="0" percent="0" rank="0" text="" dxfId="1">
      <formula>AND(C26&lt;&gt;"",C26&gt;$D$18+1)</formula>
    </cfRule>
    <cfRule type="expression" priority="7" aboveAverage="0" equalAverage="0" bottom="0" percent="0" rank="0" text="" dxfId="2">
      <formula>AND(C26&lt;&gt;"",C26&gt;=$D$18,C26&lt;=$D$18+1)</formula>
    </cfRule>
  </conditionalFormatting>
  <conditionalFormatting sqref="C38:N38">
    <cfRule type="expression" priority="8" aboveAverage="0" equalAverage="0" bottom="0" percent="0" rank="0" text="" dxfId="0">
      <formula>AND(C38&lt;&gt;"",C38&lt;$D$30)</formula>
    </cfRule>
    <cfRule type="expression" priority="9" aboveAverage="0" equalAverage="0" bottom="0" percent="0" rank="0" text="" dxfId="1">
      <formula>AND(C38&lt;&gt;"",C38&gt;$D$30+1)</formula>
    </cfRule>
    <cfRule type="expression" priority="10" aboveAverage="0" equalAverage="0" bottom="0" percent="0" rank="0" text="" dxfId="2">
      <formula>AND(C38&lt;&gt;"",C38&gt;=$D$30,C38&lt;=$D$30+1)</formula>
    </cfRule>
  </conditionalFormatting>
  <conditionalFormatting sqref="C50:N50">
    <cfRule type="expression" priority="11" aboveAverage="0" equalAverage="0" bottom="0" percent="0" rank="0" text="" dxfId="0">
      <formula>AND(C50&lt;&gt;"",C50&lt;$D$42)</formula>
    </cfRule>
    <cfRule type="expression" priority="12" aboveAverage="0" equalAverage="0" bottom="0" percent="0" rank="0" text="" dxfId="1">
      <formula>AND(C50&lt;&gt;"",C50&gt;$D$42+1)</formula>
    </cfRule>
    <cfRule type="expression" priority="13" aboveAverage="0" equalAverage="0" bottom="0" percent="0" rank="0" text="" dxfId="2">
      <formula>AND(C50&lt;&gt;"",C50&gt;=$D$42,C50&lt;=$D$42+1)</formula>
    </cfRule>
  </conditionalFormatting>
  <conditionalFormatting sqref="C62:N62">
    <cfRule type="expression" priority="14" aboveAverage="0" equalAverage="0" bottom="0" percent="0" rank="0" text="" dxfId="0">
      <formula>AND(C62&lt;&gt;"",C62&lt;$D$54)</formula>
    </cfRule>
    <cfRule type="expression" priority="15" aboveAverage="0" equalAverage="0" bottom="0" percent="0" rank="0" text="" dxfId="1">
      <formula>AND(C62&lt;&gt;"",C62&gt;$D$54+1)</formula>
    </cfRule>
    <cfRule type="expression" priority="16" aboveAverage="0" equalAverage="0" bottom="0" percent="0" rank="0" text="" dxfId="2">
      <formula>AND(C62&lt;&gt;"",C62&gt;=$D$54,C62&lt;=$D$54+1)</formula>
    </cfRule>
  </conditionalFormatting>
  <conditionalFormatting sqref="C74:N74">
    <cfRule type="expression" priority="17" aboveAverage="0" equalAverage="0" bottom="0" percent="0" rank="0" text="" dxfId="0">
      <formula>AND(C74&lt;&gt;"",C74&lt;$D$66)</formula>
    </cfRule>
    <cfRule type="expression" priority="18" aboveAverage="0" equalAverage="0" bottom="0" percent="0" rank="0" text="" dxfId="1">
      <formula>AND(C74&lt;&gt;"",C74&gt;$D$66+1)</formula>
    </cfRule>
    <cfRule type="expression" priority="19" aboveAverage="0" equalAverage="0" bottom="0" percent="0" rank="0" text="" dxfId="2">
      <formula>AND(C74&lt;&gt;"",C74&gt;=$D$66,C74&lt;=$D$66+1)</formula>
    </cfRule>
  </conditionalFormatting>
  <conditionalFormatting sqref="C86:N86">
    <cfRule type="expression" priority="20" aboveAverage="0" equalAverage="0" bottom="0" percent="0" rank="0" text="" dxfId="0">
      <formula>AND(C86&lt;&gt;"",C86&lt;$D$78)</formula>
    </cfRule>
    <cfRule type="expression" priority="21" aboveAverage="0" equalAverage="0" bottom="0" percent="0" rank="0" text="" dxfId="1">
      <formula>AND(C86&lt;&gt;"",C86&gt;$D$78+1)</formula>
    </cfRule>
    <cfRule type="expression" priority="22" aboveAverage="0" equalAverage="0" bottom="0" percent="0" rank="0" text="" dxfId="2">
      <formula>AND(C86&lt;&gt;"",C86&gt;=$D$78,C86&lt;=$D$78+1)</formula>
    </cfRule>
  </conditionalFormatting>
  <conditionalFormatting sqref="C98:N98">
    <cfRule type="expression" priority="23" aboveAverage="0" equalAverage="0" bottom="0" percent="0" rank="0" text="" dxfId="0">
      <formula>AND(C98&lt;&gt;"",C98&lt;$D$90)</formula>
    </cfRule>
    <cfRule type="expression" priority="24" aboveAverage="0" equalAverage="0" bottom="0" percent="0" rank="0" text="" dxfId="1">
      <formula>AND(C98&lt;&gt;"",C98&gt;$D$90+1)</formula>
    </cfRule>
    <cfRule type="expression" priority="25" aboveAverage="0" equalAverage="0" bottom="0" percent="0" rank="0" text="" dxfId="2">
      <formula>AND(C98&lt;&gt;"",C98&gt;=$D$90,C98&lt;=$D$90+1)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2026-10-29T10:28:16Z</dcterms:created>
  <dc:creator>openpyxl</dc:creator>
  <dc:description/>
  <dc:language>en-US</dc:language>
  <cp:lastModifiedBy/>
  <dcterms:modified xsi:type="dcterms:W3CDTF">2026-10-29T10:28:16Z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