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Plan" sheetId="3" state="visible" r:id="rId5"/>
    <sheet name="Settings" sheetId="4" state="visible" r:id="rId6"/>
    <sheet name="Opening Stock" sheetId="5" state="visible" r:id="rId7"/>
    <sheet name="Sales" sheetId="6" state="visible" r:id="rId8"/>
    <sheet name="Order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Formula: order month + lead time from Settings.</t>
        </r>
      </text>
    </comment>
    <comment ref="G1" authorId="0">
      <text>
        <r>
          <rPr>
            <sz val="10"/>
            <rFont val="Arial"/>
            <family val="2"/>
          </rPr>
          <t xml:space="preserve">Fill in when the real arrival month is known. Overrides Planned arrival.</t>
        </r>
      </text>
    </comment>
  </commentList>
</comments>
</file>

<file path=xl/sharedStrings.xml><?xml version="1.0" encoding="utf-8"?>
<sst xmlns="http://schemas.openxmlformats.org/spreadsheetml/2006/main" count="703" uniqueCount="110">
  <si>
    <t xml:space="preserve">Vehicle Demand Planning - Input Template (dummy data)</t>
  </si>
  <si>
    <t xml:space="preserve">All figures in this file are invented for demonstration. They are not Alghanim Motors data.</t>
  </si>
  <si>
    <t xml:space="preserve">How to use</t>
  </si>
  <si>
    <t xml:space="preserve">1. Blue text = values you type. Black text = formulas, do not edit.</t>
  </si>
  <si>
    <t xml:space="preserve">2. Each sheet is one table. One row = one fact. Add rows at the bottom of a table to extend it.</t>
  </si>
  <si>
    <t xml:space="preserve">3. Do not type arrivals anywhere. Arrivals are calculated from the Orders sheet.</t>
  </si>
  <si>
    <t xml:space="preserve">Sheets</t>
  </si>
  <si>
    <t xml:space="preserve">Settings: one row per trim. Target stock cover (months) and standard lead time (months).</t>
  </si>
  <si>
    <t xml:space="preserve">Opening Stock: stock on hand per trim at the start of the plan (start of Nov-2026).</t>
  </si>
  <si>
    <t xml:space="preserve">Sales: units per trim per month. Type = Actual for completed months, Forecast for future months.</t>
  </si>
  <si>
    <t xml:space="preserve">    Forecast runs to Jan-2028 so the 3-month forward cover can be calculated for the last plan month (Oct-2027).</t>
  </si>
  <si>
    <t xml:space="preserve">Orders: every order already placed. Planned arrival = order month + standard lead time (formula).</t>
  </si>
  <si>
    <t xml:space="preserve">    Confirmed arrival: fill in when the real arrival month is known. It overrides the planned month.</t>
  </si>
  <si>
    <t xml:space="preserve">    Short shipment: split the order into two rows with the same Order ID (e.g. 80 now, 20 later).</t>
  </si>
  <si>
    <t xml:space="preserve">Plan: the calculation engine. One block per trim, 12 months. All formulas, nothing to type here.</t>
  </si>
  <si>
    <t xml:space="preserve">Summary: order to place this month per trim, status, and a 12-month stock cover heatmap.</t>
  </si>
  <si>
    <t xml:space="preserve">Rules for entering data</t>
  </si>
  <si>
    <t xml:space="preserve">Sales: keep one Forecast row per trim per month. When the month closes, add an Actual row. The Actual replaces the Forecast automatically.</t>
  </si>
  <si>
    <t xml:space="preserve">Orders: never type arrivals. Fill Confirmed arrival when known. For a short shipment, split the row.</t>
  </si>
  <si>
    <t xml:space="preserve">Excel version limit: the Plan sheet has one block per trim in Settings (8 here). A new trim needs a new block. The HTML tool has no such limit.</t>
  </si>
  <si>
    <t xml:space="preserve">Definitions used</t>
  </si>
  <si>
    <t xml:space="preserve">Closing stock = opening stock + arrivals - sales.</t>
  </si>
  <si>
    <t xml:space="preserve">Stock cover (months) = closing stock / average forecast sales of the next 3 months.</t>
  </si>
  <si>
    <t xml:space="preserve">Effective arrival month = Confirmed arrival if filled, otherwise Planned arrival.</t>
  </si>
  <si>
    <t xml:space="preserve">Target closing stock = target cover x average forecast sales of the next 3 months.</t>
  </si>
  <si>
    <t xml:space="preserve">Proposed arrival = target closing stock - (opening + confirmed arrivals - sales), rounded up, never below 0.</t>
  </si>
  <si>
    <t xml:space="preserve">Months inside the lead time are frozen: no new order can arrive in time, so the proposal there is 0 and the plan only shows the gap.</t>
  </si>
  <si>
    <t xml:space="preserve">Proposed order = the proposed arrival 'lead time' months later, placed in this month.</t>
  </si>
  <si>
    <t xml:space="preserve">Scenarios built into the dummy data</t>
  </si>
  <si>
    <t xml:space="preserve">Territory Trend: high opening stock (overstock case).</t>
  </si>
  <si>
    <t xml:space="preserve">Territory Titanium: fleet deal of +40 units in the Apr-2027 forecast.</t>
  </si>
  <si>
    <t xml:space="preserve">Bronco Badlands: low opening stock, and the Aug-2026 order was short-shipped (10 in Nov, 5 in Jan).</t>
  </si>
  <si>
    <t xml:space="preserve">Bronco Wildtrak: Sep-2026 order delayed from Dec-2026 to Mar-2027.</t>
  </si>
  <si>
    <t xml:space="preserve">Territory Trend: Oct-2026 order arriving early (Dec-2026 instead of Jan-2027).</t>
  </si>
  <si>
    <t xml:space="preserve">Summary - orders to place and stock cover</t>
  </si>
  <si>
    <t xml:space="preserve">Cover colours: red = below target, green = on target (up to +1 month), amber = more than 1 month above target. The first 3 months are frozen: orders placed now cannot arrive before then.</t>
  </si>
  <si>
    <t xml:space="preserve">Stock cover (months) by month</t>
  </si>
  <si>
    <t xml:space="preserve">Car line</t>
  </si>
  <si>
    <t xml:space="preserve">Trim</t>
  </si>
  <si>
    <t xml:space="preserve">Target</t>
  </si>
  <si>
    <t xml:space="preserve">Lowest cover before new orders land</t>
  </si>
  <si>
    <t xml:space="preserve">Cover when first new order lands</t>
  </si>
  <si>
    <t xml:space="preserve">Status</t>
  </si>
  <si>
    <t xml:space="preserve">Demand Plan - calculation engine (formulas only)</t>
  </si>
  <si>
    <t xml:space="preserve">Plan start</t>
  </si>
  <si>
    <t xml:space="preserve">Sales only, used for cover</t>
  </si>
  <si>
    <t xml:space="preserve">Month no.</t>
  </si>
  <si>
    <t xml:space="preserve">Month</t>
  </si>
  <si>
    <t xml:space="preserve">Lead</t>
  </si>
  <si>
    <t xml:space="preserve">Opening stock</t>
  </si>
  <si>
    <t xml:space="preserve">Arrivals (orders already placed)</t>
  </si>
  <si>
    <t xml:space="preserve">Proposed arrivals (new orders)</t>
  </si>
  <si>
    <t xml:space="preserve">Sales (actual, else forecast)</t>
  </si>
  <si>
    <t xml:space="preserve">Closing stock</t>
  </si>
  <si>
    <t xml:space="preserve">Avg sales, next 3 months</t>
  </si>
  <si>
    <t xml:space="preserve">Target closing stock</t>
  </si>
  <si>
    <t xml:space="preserve">Stock cover (months)</t>
  </si>
  <si>
    <t xml:space="preserve">Proposed order (place this month)</t>
  </si>
  <si>
    <t xml:space="preserve">Target cover (months)</t>
  </si>
  <si>
    <t xml:space="preserve">Lead time (months)</t>
  </si>
  <si>
    <t xml:space="preserve">Territory</t>
  </si>
  <si>
    <t xml:space="preserve">Ambiente</t>
  </si>
  <si>
    <t xml:space="preserve">Trend</t>
  </si>
  <si>
    <t xml:space="preserve">Titanium</t>
  </si>
  <si>
    <t xml:space="preserve">Bronco</t>
  </si>
  <si>
    <t xml:space="preserve">Big Bend 2-door</t>
  </si>
  <si>
    <t xml:space="preserve">Big Bend 4-door</t>
  </si>
  <si>
    <t xml:space="preserve">Outer Banks</t>
  </si>
  <si>
    <t xml:space="preserve">Badlands</t>
  </si>
  <si>
    <t xml:space="preserve">Wildtrak</t>
  </si>
  <si>
    <t xml:space="preserve">Stock</t>
  </si>
  <si>
    <t xml:space="preserve">Units</t>
  </si>
  <si>
    <t xml:space="preserve">Type</t>
  </si>
  <si>
    <t xml:space="preserve">Note</t>
  </si>
  <si>
    <t xml:space="preserve">Actual</t>
  </si>
  <si>
    <t xml:space="preserve">Forecast</t>
  </si>
  <si>
    <t xml:space="preserve">Fleet deal +40</t>
  </si>
  <si>
    <t xml:space="preserve">Order ID</t>
  </si>
  <si>
    <t xml:space="preserve">Order month</t>
  </si>
  <si>
    <t xml:space="preserve">Planned arrival</t>
  </si>
  <si>
    <t xml:space="preserve">Confirmed arrival</t>
  </si>
  <si>
    <t xml:space="preserve">Effective arrival</t>
  </si>
  <si>
    <t xml:space="preserve">T-101</t>
  </si>
  <si>
    <t xml:space="preserve">T-102</t>
  </si>
  <si>
    <t xml:space="preserve">T-103</t>
  </si>
  <si>
    <t xml:space="preserve">T-104</t>
  </si>
  <si>
    <t xml:space="preserve">T-105</t>
  </si>
  <si>
    <t xml:space="preserve">T-106</t>
  </si>
  <si>
    <t xml:space="preserve">Arriving early</t>
  </si>
  <si>
    <t xml:space="preserve">T-107</t>
  </si>
  <si>
    <t xml:space="preserve">T-108</t>
  </si>
  <si>
    <t xml:space="preserve">T-109</t>
  </si>
  <si>
    <t xml:space="preserve">B-110</t>
  </si>
  <si>
    <t xml:space="preserve">B-111</t>
  </si>
  <si>
    <t xml:space="preserve">B-112</t>
  </si>
  <si>
    <t xml:space="preserve">B-113</t>
  </si>
  <si>
    <t xml:space="preserve">B-114</t>
  </si>
  <si>
    <t xml:space="preserve">B-115</t>
  </si>
  <si>
    <t xml:space="preserve">B-116</t>
  </si>
  <si>
    <t xml:space="preserve">B-117</t>
  </si>
  <si>
    <t xml:space="preserve">B-118</t>
  </si>
  <si>
    <t xml:space="preserve">B-119</t>
  </si>
  <si>
    <t xml:space="preserve">Short shipment: 10 of 15 in Nov</t>
  </si>
  <si>
    <t xml:space="preserve">Short shipment: balance 5 in Jan</t>
  </si>
  <si>
    <t xml:space="preserve">B-120</t>
  </si>
  <si>
    <t xml:space="preserve">B-121</t>
  </si>
  <si>
    <t xml:space="preserve">B-122</t>
  </si>
  <si>
    <t xml:space="preserve">B-123</t>
  </si>
  <si>
    <t xml:space="preserve">Delayed from Dec to Mar</t>
  </si>
  <si>
    <t xml:space="preserve">B-124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</si>
</sst>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\-yy"/>
    <numFmt numFmtId="166" formatCode="#,##0;\-#,##0;0"/>
    <numFmt numFmtId="167" formatCode="0.0"/>
    <numFmt numFmtId="168" formatCode="mmm\-yyyy"/>
    <numFmt numFmtId="169" formatCode="#,##0;\-#,##0;\-"/>
    <numFmt numFmtId="170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8EA9DB"/>
        <bgColor rgb="FF969696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dotted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8EA9DB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Opening" displayName="tblOpening" ref="A1:D9" headerRowCount="1" totalsRowCount="0" totalsRowShown="0">
  <autoFilter ref="A1:D9"/>
  <tableColumns count="4">
    <tableColumn id="1" name="Car line"/>
    <tableColumn id="2" name="Trim"/>
    <tableColumn id="3" name="Month"/>
    <tableColumn id="4" name="Stock"/>
  </tableColumns>
</table>
</file>

<file path=xl/tables/table2.xml><?xml version="1.0" encoding="utf-8"?>
<table xmlns="http://schemas.openxmlformats.org/spreadsheetml/2006/main" id="2" name="tblOrders" displayName="tblOrders" ref="A1:I26" headerRowCount="1" totalsRowCount="0" totalsRowShown="0">
  <autoFilter ref="A1:I26"/>
  <tableColumns count="9">
    <tableColumn id="1" name="Order ID"/>
    <tableColumn id="2" name="Car line"/>
    <tableColumn id="3" name="Trim"/>
    <tableColumn id="4" name="Order month"/>
    <tableColumn id="5" name="Units"/>
    <tableColumn id="6" name="Planned arrival"/>
    <tableColumn id="7" name="Confirmed arrival"/>
    <tableColumn id="8" name="Effective arrival"/>
    <tableColumn id="9" name="Note"/>
  </tableColumns>
</table>
</file>

<file path=xl/tables/table3.xml><?xml version="1.0" encoding="utf-8"?>
<table xmlns="http://schemas.openxmlformats.org/spreadsheetml/2006/main" id="3" name="tblSales" displayName="tblSales" ref="A1:F145" headerRowCount="1" totalsRowCount="0" totalsRowShown="0">
  <autoFilter ref="A1:F145"/>
  <tableColumns count="6">
    <tableColumn id="1" name="Car line"/>
    <tableColumn id="2" name="Trim"/>
    <tableColumn id="3" name="Month"/>
    <tableColumn id="4" name="Units"/>
    <tableColumn id="5" name="Type"/>
    <tableColumn id="6" name="Note"/>
  </tableColumns>
</table>
</file>

<file path=xl/tables/table4.xml><?xml version="1.0" encoding="utf-8"?>
<table xmlns="http://schemas.openxmlformats.org/spreadsheetml/2006/main" id="4" name="tblSettings" displayName="tblSettings" ref="A1:D9" headerRowCount="1" totalsRowCount="0" totalsRowShown="0">
  <autoFilter ref="A1:D9"/>
  <tableColumns count="4">
    <tableColumn id="1" name="Car line"/>
    <tableColumn id="2" name="Trim"/>
    <tableColumn id="3" name="Target cover (months)"/>
    <tableColumn id="4" name="Lead time (months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 t="s">
        <v>25</v>
      </c>
    </row>
    <row r="32" customFormat="false" ht="15" hidden="false" customHeight="false" outlineLevel="0" collapsed="false">
      <c r="A32" s="2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3" t="s">
        <v>28</v>
      </c>
    </row>
    <row r="36" customFormat="false" ht="15" hidden="false" customHeight="false" outlineLevel="0" collapsed="false">
      <c r="A36" s="2" t="s">
        <v>29</v>
      </c>
    </row>
    <row r="37" customFormat="false" ht="1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 t="s">
        <v>31</v>
      </c>
    </row>
    <row r="39" customFormat="false" ht="15" hidden="false" customHeight="false" outlineLevel="0" collapsed="false">
      <c r="A39" s="2" t="s">
        <v>32</v>
      </c>
    </row>
    <row r="40" customFormat="false" ht="15" hidden="false" customHeight="false" outlineLevel="0" collapsed="false">
      <c r="A40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32"/>
    <col collapsed="false" customWidth="true" hidden="false" outlineLevel="0" max="8" min="8" style="0" width="2"/>
    <col collapsed="false" customWidth="true" hidden="false" outlineLevel="0" max="20" min="9" style="0" width="8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4" t="s">
        <v>35</v>
      </c>
    </row>
    <row r="3" customFormat="false" ht="15" hidden="false" customHeight="false" outlineLevel="0" collapsed="false">
      <c r="I3" s="5" t="s">
        <v>36</v>
      </c>
    </row>
    <row r="4" customFormat="false" ht="45" hidden="false" customHeight="true" outlineLevel="0" collapsed="false">
      <c r="A4" s="6" t="s">
        <v>37</v>
      </c>
      <c r="B4" s="6" t="s">
        <v>38</v>
      </c>
      <c r="C4" s="6" t="s">
        <v>39</v>
      </c>
      <c r="D4" s="6" t="str">
        <f aca="false">"Order to place in "&amp;TEXT(Plan!C4,"mmm-yyyy")</f>
        <v>Order to place in Nov-2026</v>
      </c>
      <c r="E4" s="6" t="s">
        <v>40</v>
      </c>
      <c r="F4" s="6" t="s">
        <v>41</v>
      </c>
      <c r="G4" s="6" t="s">
        <v>42</v>
      </c>
      <c r="I4" s="7" t="n">
        <f aca="false">Plan!C4</f>
        <v>46327</v>
      </c>
      <c r="J4" s="7" t="n">
        <f aca="false">Plan!D4</f>
        <v>46357</v>
      </c>
      <c r="K4" s="7" t="n">
        <f aca="false">Plan!E4</f>
        <v>46388</v>
      </c>
      <c r="L4" s="7" t="n">
        <f aca="false">Plan!F4</f>
        <v>46419</v>
      </c>
      <c r="M4" s="7" t="n">
        <f aca="false">Plan!G4</f>
        <v>46447</v>
      </c>
      <c r="N4" s="7" t="n">
        <f aca="false">Plan!H4</f>
        <v>46478</v>
      </c>
      <c r="O4" s="7" t="n">
        <f aca="false">Plan!I4</f>
        <v>46508</v>
      </c>
      <c r="P4" s="7" t="n">
        <f aca="false">Plan!J4</f>
        <v>46539</v>
      </c>
      <c r="Q4" s="7" t="n">
        <f aca="false">Plan!K4</f>
        <v>46569</v>
      </c>
      <c r="R4" s="7" t="n">
        <f aca="false">Plan!L4</f>
        <v>46600</v>
      </c>
      <c r="S4" s="7" t="n">
        <f aca="false">Plan!M4</f>
        <v>46631</v>
      </c>
      <c r="T4" s="7" t="n">
        <f aca="false">Plan!N4</f>
        <v>46661</v>
      </c>
    </row>
    <row r="5" customFormat="false" ht="15" hidden="false" customHeight="false" outlineLevel="0" collapsed="false">
      <c r="A5" s="8" t="str">
        <f aca="false">INDEX(Settings!$A$2:$A$100,1)</f>
        <v>Territory</v>
      </c>
      <c r="B5" s="8" t="str">
        <f aca="false">Plan!A6</f>
        <v>Ambiente</v>
      </c>
      <c r="C5" s="8" t="n">
        <f aca="false">Plan!D6</f>
        <v>3</v>
      </c>
      <c r="D5" s="9" t="n">
        <f aca="false">Plan!C15</f>
        <v>24</v>
      </c>
      <c r="E5" s="10" t="n">
        <f aca="false">MIN(Plan!C14:INDEX(Plan!C14:N14,Plan!F6))</f>
        <v>2.82352941176471</v>
      </c>
      <c r="F5" s="10" t="n">
        <f aca="false">INDEX(Plan!C14:N14,Plan!F6+1)</f>
        <v>3</v>
      </c>
      <c r="G5" s="11" t="str">
        <f aca="false">IF(F5&gt;C5+1,"Excess stock: no new order needed",IF(E5&lt;C5,"Short until new orders land","On target"))</f>
        <v>Short until new orders land</v>
      </c>
      <c r="I5" s="12" t="n">
        <f aca="false">Plan!C14</f>
        <v>2.82352941176471</v>
      </c>
      <c r="J5" s="12" t="n">
        <f aca="false">Plan!D14</f>
        <v>2.85714285714286</v>
      </c>
      <c r="K5" s="12" t="n">
        <f aca="false">Plan!E14</f>
        <v>2.92682926829268</v>
      </c>
      <c r="L5" s="13" t="n">
        <f aca="false">Plan!F14</f>
        <v>3</v>
      </c>
      <c r="M5" s="13" t="n">
        <f aca="false">Plan!G14</f>
        <v>3</v>
      </c>
      <c r="N5" s="13" t="n">
        <f aca="false">Plan!H14</f>
        <v>3</v>
      </c>
      <c r="O5" s="13" t="n">
        <f aca="false">Plan!I14</f>
        <v>3</v>
      </c>
      <c r="P5" s="13" t="n">
        <f aca="false">Plan!J14</f>
        <v>3</v>
      </c>
      <c r="Q5" s="13" t="n">
        <f aca="false">Plan!K14</f>
        <v>3</v>
      </c>
      <c r="R5" s="13" t="n">
        <f aca="false">Plan!L14</f>
        <v>3</v>
      </c>
      <c r="S5" s="13" t="n">
        <f aca="false">Plan!M14</f>
        <v>3</v>
      </c>
      <c r="T5" s="13" t="n">
        <f aca="false">Plan!N14</f>
        <v>3</v>
      </c>
    </row>
    <row r="6" customFormat="false" ht="15" hidden="false" customHeight="false" outlineLevel="0" collapsed="false">
      <c r="A6" s="8" t="str">
        <f aca="false">INDEX(Settings!$A$2:$A$100,2)</f>
        <v>Territory</v>
      </c>
      <c r="B6" s="8" t="str">
        <f aca="false">Plan!A17</f>
        <v>Trend</v>
      </c>
      <c r="C6" s="8" t="n">
        <f aca="false">Plan!D17</f>
        <v>3</v>
      </c>
      <c r="D6" s="9" t="n">
        <f aca="false">Plan!C26</f>
        <v>0</v>
      </c>
      <c r="E6" s="10" t="n">
        <f aca="false">MIN(Plan!C25:INDEX(Plan!C25:N25,Plan!F17))</f>
        <v>5.29411764705882</v>
      </c>
      <c r="F6" s="10" t="n">
        <f aca="false">INDEX(Plan!C25:N25,Plan!F17+1)</f>
        <v>4.89320388349515</v>
      </c>
      <c r="G6" s="11" t="str">
        <f aca="false">IF(F6&gt;C6+1,"Excess stock: no new order needed",IF(E6&lt;C6,"Short until new orders land","On target"))</f>
        <v>Excess stock: no new order needed</v>
      </c>
      <c r="I6" s="12" t="n">
        <f aca="false">Plan!C25</f>
        <v>5.29411764705882</v>
      </c>
      <c r="J6" s="12" t="n">
        <f aca="false">Plan!D25</f>
        <v>6.33333333333333</v>
      </c>
      <c r="K6" s="12" t="n">
        <f aca="false">Plan!E25</f>
        <v>5.57522123893805</v>
      </c>
      <c r="L6" s="13" t="n">
        <f aca="false">Plan!F25</f>
        <v>4.89320388349515</v>
      </c>
      <c r="M6" s="13" t="n">
        <f aca="false">Plan!G25</f>
        <v>4.19354838709677</v>
      </c>
      <c r="N6" s="13" t="n">
        <f aca="false">Plan!H25</f>
        <v>3.38372093023256</v>
      </c>
      <c r="O6" s="13" t="n">
        <f aca="false">Plan!I25</f>
        <v>3</v>
      </c>
      <c r="P6" s="13" t="n">
        <f aca="false">Plan!J25</f>
        <v>3</v>
      </c>
      <c r="Q6" s="13" t="n">
        <f aca="false">Plan!K25</f>
        <v>3</v>
      </c>
      <c r="R6" s="13" t="n">
        <f aca="false">Plan!L25</f>
        <v>3</v>
      </c>
      <c r="S6" s="13" t="n">
        <f aca="false">Plan!M25</f>
        <v>3</v>
      </c>
      <c r="T6" s="13" t="n">
        <f aca="false">Plan!N25</f>
        <v>3</v>
      </c>
    </row>
    <row r="7" customFormat="false" ht="15" hidden="false" customHeight="false" outlineLevel="0" collapsed="false">
      <c r="A7" s="8" t="str">
        <f aca="false">INDEX(Settings!$A$2:$A$100,3)</f>
        <v>Territory</v>
      </c>
      <c r="B7" s="8" t="str">
        <f aca="false">Plan!A28</f>
        <v>Titanium</v>
      </c>
      <c r="C7" s="8" t="n">
        <f aca="false">Plan!D28</f>
        <v>3</v>
      </c>
      <c r="D7" s="9" t="n">
        <f aca="false">Plan!C37</f>
        <v>78</v>
      </c>
      <c r="E7" s="10" t="n">
        <f aca="false">MIN(Plan!C36:INDEX(Plan!C36:N36,Plan!F28))</f>
        <v>1.28571428571429</v>
      </c>
      <c r="F7" s="10" t="n">
        <f aca="false">INDEX(Plan!C36:N36,Plan!F28+1)</f>
        <v>3</v>
      </c>
      <c r="G7" s="11" t="str">
        <f aca="false">IF(F7&gt;C7+1,"Excess stock: no new order needed",IF(E7&lt;C7,"Short until new orders land","On target"))</f>
        <v>Short until new orders land</v>
      </c>
      <c r="I7" s="12" t="n">
        <f aca="false">Plan!C36</f>
        <v>1.98529411764706</v>
      </c>
      <c r="J7" s="12" t="n">
        <f aca="false">Plan!D36</f>
        <v>2.01492537313433</v>
      </c>
      <c r="K7" s="12" t="n">
        <f aca="false">Plan!E36</f>
        <v>1.28571428571429</v>
      </c>
      <c r="L7" s="13" t="n">
        <f aca="false">Plan!F36</f>
        <v>3</v>
      </c>
      <c r="M7" s="13" t="n">
        <f aca="false">Plan!G36</f>
        <v>3</v>
      </c>
      <c r="N7" s="13" t="n">
        <f aca="false">Plan!H36</f>
        <v>3</v>
      </c>
      <c r="O7" s="13" t="n">
        <f aca="false">Plan!I36</f>
        <v>3</v>
      </c>
      <c r="P7" s="13" t="n">
        <f aca="false">Plan!J36</f>
        <v>3</v>
      </c>
      <c r="Q7" s="13" t="n">
        <f aca="false">Plan!K36</f>
        <v>3</v>
      </c>
      <c r="R7" s="13" t="n">
        <f aca="false">Plan!L36</f>
        <v>3</v>
      </c>
      <c r="S7" s="13" t="n">
        <f aca="false">Plan!M36</f>
        <v>3</v>
      </c>
      <c r="T7" s="13" t="n">
        <f aca="false">Plan!N36</f>
        <v>3</v>
      </c>
    </row>
    <row r="8" customFormat="false" ht="15" hidden="false" customHeight="false" outlineLevel="0" collapsed="false">
      <c r="A8" s="8" t="str">
        <f aca="false">INDEX(Settings!$A$2:$A$100,4)</f>
        <v>Bronco</v>
      </c>
      <c r="B8" s="8" t="str">
        <f aca="false">Plan!A39</f>
        <v>Big Bend 2-door</v>
      </c>
      <c r="C8" s="8" t="n">
        <f aca="false">Plan!D39</f>
        <v>2</v>
      </c>
      <c r="D8" s="9" t="n">
        <f aca="false">Plan!C48</f>
        <v>5</v>
      </c>
      <c r="E8" s="10" t="n">
        <f aca="false">MIN(Plan!C47:INDEX(Plan!C47:N47,Plan!F39))</f>
        <v>2.1</v>
      </c>
      <c r="F8" s="10" t="n">
        <f aca="false">INDEX(Plan!C47:N47,Plan!F39+1)</f>
        <v>2</v>
      </c>
      <c r="G8" s="11" t="str">
        <f aca="false">IF(F8&gt;C8+1,"Excess stock: no new order needed",IF(E8&lt;C8,"Short until new orders land","On target"))</f>
        <v>On target</v>
      </c>
      <c r="I8" s="12" t="n">
        <f aca="false">Plan!C47</f>
        <v>2.1</v>
      </c>
      <c r="J8" s="12" t="n">
        <f aca="false">Plan!D47</f>
        <v>2.1</v>
      </c>
      <c r="K8" s="12" t="n">
        <f aca="false">Plan!E47</f>
        <v>2.1</v>
      </c>
      <c r="L8" s="13" t="n">
        <f aca="false">Plan!F47</f>
        <v>2</v>
      </c>
      <c r="M8" s="13" t="n">
        <f aca="false">Plan!G47</f>
        <v>2.0625</v>
      </c>
      <c r="N8" s="13" t="n">
        <f aca="false">Plan!H47</f>
        <v>2.14285714285714</v>
      </c>
      <c r="O8" s="13" t="n">
        <f aca="false">Plan!I47</f>
        <v>2.14285714285714</v>
      </c>
      <c r="P8" s="13" t="n">
        <f aca="false">Plan!J47</f>
        <v>2</v>
      </c>
      <c r="Q8" s="13" t="n">
        <f aca="false">Plan!K47</f>
        <v>2.11764705882353</v>
      </c>
      <c r="R8" s="13" t="n">
        <f aca="false">Plan!L47</f>
        <v>2</v>
      </c>
      <c r="S8" s="13" t="n">
        <f aca="false">Plan!M47</f>
        <v>2.05263157894737</v>
      </c>
      <c r="T8" s="13" t="n">
        <f aca="false">Plan!N47</f>
        <v>2.05263157894737</v>
      </c>
    </row>
    <row r="9" customFormat="false" ht="15" hidden="false" customHeight="false" outlineLevel="0" collapsed="false">
      <c r="A9" s="8" t="str">
        <f aca="false">INDEX(Settings!$A$2:$A$100,5)</f>
        <v>Bronco</v>
      </c>
      <c r="B9" s="8" t="str">
        <f aca="false">Plan!A50</f>
        <v>Big Bend 4-door</v>
      </c>
      <c r="C9" s="8" t="n">
        <f aca="false">Plan!D50</f>
        <v>2</v>
      </c>
      <c r="D9" s="9" t="n">
        <f aca="false">Plan!C59</f>
        <v>7</v>
      </c>
      <c r="E9" s="10" t="n">
        <f aca="false">MIN(Plan!C58:INDEX(Plan!C58:N58,Plan!F50))</f>
        <v>2.20588235294118</v>
      </c>
      <c r="F9" s="10" t="n">
        <f aca="false">INDEX(Plan!C58:N58,Plan!F50+1)</f>
        <v>2</v>
      </c>
      <c r="G9" s="11" t="str">
        <f aca="false">IF(F9&gt;C9+1,"Excess stock: no new order needed",IF(E9&lt;C9,"Short until new orders land","On target"))</f>
        <v>On target</v>
      </c>
      <c r="I9" s="12" t="n">
        <f aca="false">Plan!C58</f>
        <v>2.20588235294118</v>
      </c>
      <c r="J9" s="12" t="n">
        <f aca="false">Plan!D58</f>
        <v>2.27272727272727</v>
      </c>
      <c r="K9" s="12" t="n">
        <f aca="false">Plan!E58</f>
        <v>2.27272727272727</v>
      </c>
      <c r="L9" s="13" t="n">
        <f aca="false">Plan!F58</f>
        <v>2</v>
      </c>
      <c r="M9" s="13" t="n">
        <f aca="false">Plan!G58</f>
        <v>2</v>
      </c>
      <c r="N9" s="13" t="n">
        <f aca="false">Plan!H58</f>
        <v>2.04</v>
      </c>
      <c r="O9" s="13" t="n">
        <f aca="false">Plan!I58</f>
        <v>2</v>
      </c>
      <c r="P9" s="13" t="n">
        <f aca="false">Plan!J58</f>
        <v>2.07692307692308</v>
      </c>
      <c r="Q9" s="13" t="n">
        <f aca="false">Plan!K58</f>
        <v>2.03571428571429</v>
      </c>
      <c r="R9" s="13" t="n">
        <f aca="false">Plan!L58</f>
        <v>2</v>
      </c>
      <c r="S9" s="13" t="n">
        <f aca="false">Plan!M58</f>
        <v>2.0625</v>
      </c>
      <c r="T9" s="13" t="n">
        <f aca="false">Plan!N58</f>
        <v>2.0625</v>
      </c>
    </row>
    <row r="10" customFormat="false" ht="15" hidden="false" customHeight="false" outlineLevel="0" collapsed="false">
      <c r="A10" s="8" t="str">
        <f aca="false">INDEX(Settings!$A$2:$A$100,6)</f>
        <v>Bronco</v>
      </c>
      <c r="B10" s="8" t="str">
        <f aca="false">Plan!A61</f>
        <v>Outer Banks</v>
      </c>
      <c r="C10" s="8" t="n">
        <f aca="false">Plan!D61</f>
        <v>2</v>
      </c>
      <c r="D10" s="9" t="n">
        <f aca="false">Plan!C70</f>
        <v>7</v>
      </c>
      <c r="E10" s="10" t="n">
        <f aca="false">MIN(Plan!C69:INDEX(Plan!C69:N69,Plan!F61))</f>
        <v>2.11111111111111</v>
      </c>
      <c r="F10" s="10" t="n">
        <f aca="false">INDEX(Plan!C69:N69,Plan!F61+1)</f>
        <v>2</v>
      </c>
      <c r="G10" s="11" t="str">
        <f aca="false">IF(F10&gt;C10+1,"Excess stock: no new order needed",IF(E10&lt;C10,"Short until new orders land","On target"))</f>
        <v>On target</v>
      </c>
      <c r="I10" s="12" t="n">
        <f aca="false">Plan!C69</f>
        <v>2.11111111111111</v>
      </c>
      <c r="J10" s="12" t="n">
        <f aca="false">Plan!D69</f>
        <v>2.11111111111111</v>
      </c>
      <c r="K10" s="12" t="n">
        <f aca="false">Plan!E69</f>
        <v>2.11111111111111</v>
      </c>
      <c r="L10" s="13" t="n">
        <f aca="false">Plan!F69</f>
        <v>2</v>
      </c>
      <c r="M10" s="13" t="n">
        <f aca="false">Plan!G69</f>
        <v>2</v>
      </c>
      <c r="N10" s="13" t="n">
        <f aca="false">Plan!H69</f>
        <v>2.05263157894737</v>
      </c>
      <c r="O10" s="13" t="n">
        <f aca="false">Plan!I69</f>
        <v>2</v>
      </c>
      <c r="P10" s="13" t="n">
        <f aca="false">Plan!J69</f>
        <v>2.1</v>
      </c>
      <c r="Q10" s="13" t="n">
        <f aca="false">Plan!K69</f>
        <v>2.04545454545455</v>
      </c>
      <c r="R10" s="13" t="n">
        <f aca="false">Plan!L69</f>
        <v>2</v>
      </c>
      <c r="S10" s="13" t="n">
        <f aca="false">Plan!M69</f>
        <v>2.04</v>
      </c>
      <c r="T10" s="13" t="n">
        <f aca="false">Plan!N69</f>
        <v>2.04</v>
      </c>
    </row>
    <row r="11" customFormat="false" ht="15" hidden="false" customHeight="false" outlineLevel="0" collapsed="false">
      <c r="A11" s="8" t="str">
        <f aca="false">INDEX(Settings!$A$2:$A$100,7)</f>
        <v>Bronco</v>
      </c>
      <c r="B11" s="8" t="str">
        <f aca="false">Plan!A72</f>
        <v>Badlands</v>
      </c>
      <c r="C11" s="8" t="n">
        <f aca="false">Plan!D72</f>
        <v>2</v>
      </c>
      <c r="D11" s="9" t="n">
        <f aca="false">Plan!C81</f>
        <v>5</v>
      </c>
      <c r="E11" s="10" t="n">
        <f aca="false">MIN(Plan!C80:INDEX(Plan!C80:N80,Plan!F72))</f>
        <v>1.56521739130435</v>
      </c>
      <c r="F11" s="10" t="n">
        <f aca="false">INDEX(Plan!C80:N80,Plan!F72+1)</f>
        <v>2</v>
      </c>
      <c r="G11" s="11" t="str">
        <f aca="false">IF(F11&gt;C11+1,"Excess stock: no new order needed",IF(E11&lt;C11,"Short until new orders land","On target"))</f>
        <v>Short until new orders land</v>
      </c>
      <c r="I11" s="12" t="n">
        <f aca="false">Plan!C80</f>
        <v>1.56521739130435</v>
      </c>
      <c r="J11" s="12" t="n">
        <f aca="false">Plan!D80</f>
        <v>1.56521739130435</v>
      </c>
      <c r="K11" s="12" t="n">
        <f aca="false">Plan!E80</f>
        <v>2.21739130434783</v>
      </c>
      <c r="L11" s="13" t="n">
        <f aca="false">Plan!F80</f>
        <v>2</v>
      </c>
      <c r="M11" s="13" t="n">
        <f aca="false">Plan!G80</f>
        <v>2.05263157894737</v>
      </c>
      <c r="N11" s="13" t="n">
        <f aca="false">Plan!H80</f>
        <v>2.11764705882353</v>
      </c>
      <c r="O11" s="13" t="n">
        <f aca="false">Plan!I80</f>
        <v>2.11764705882353</v>
      </c>
      <c r="P11" s="13" t="n">
        <f aca="false">Plan!J80</f>
        <v>2</v>
      </c>
      <c r="Q11" s="13" t="n">
        <f aca="false">Plan!K80</f>
        <v>2.1</v>
      </c>
      <c r="R11" s="13" t="n">
        <f aca="false">Plan!L80</f>
        <v>2</v>
      </c>
      <c r="S11" s="13" t="n">
        <f aca="false">Plan!M80</f>
        <v>2.04545454545455</v>
      </c>
      <c r="T11" s="13" t="n">
        <f aca="false">Plan!N80</f>
        <v>2.04545454545455</v>
      </c>
    </row>
    <row r="12" customFormat="false" ht="15" hidden="false" customHeight="false" outlineLevel="0" collapsed="false">
      <c r="A12" s="8" t="str">
        <f aca="false">INDEX(Settings!$A$2:$A$100,8)</f>
        <v>Bronco</v>
      </c>
      <c r="B12" s="8" t="str">
        <f aca="false">Plan!A83</f>
        <v>Wildtrak</v>
      </c>
      <c r="C12" s="8" t="n">
        <f aca="false">Plan!D83</f>
        <v>2</v>
      </c>
      <c r="D12" s="9" t="n">
        <f aca="false">Plan!C92</f>
        <v>9</v>
      </c>
      <c r="E12" s="10" t="n">
        <f aca="false">MIN(Plan!C91:INDEX(Plan!C91:N91,Plan!F83))</f>
        <v>0.923076923076923</v>
      </c>
      <c r="F12" s="10" t="n">
        <f aca="false">INDEX(Plan!C91:N91,Plan!F83+1)</f>
        <v>2</v>
      </c>
      <c r="G12" s="11" t="str">
        <f aca="false">IF(F12&gt;C12+1,"Excess stock: no new order needed",IF(E12&lt;C12,"Short until new orders land","On target"))</f>
        <v>Short until new orders land</v>
      </c>
      <c r="I12" s="12" t="n">
        <f aca="false">Plan!C91</f>
        <v>1.92857142857143</v>
      </c>
      <c r="J12" s="12" t="n">
        <f aca="false">Plan!D91</f>
        <v>0.923076923076923</v>
      </c>
      <c r="K12" s="12" t="n">
        <f aca="false">Plan!E91</f>
        <v>0.923076923076923</v>
      </c>
      <c r="L12" s="13" t="n">
        <f aca="false">Plan!F91</f>
        <v>2</v>
      </c>
      <c r="M12" s="13" t="n">
        <f aca="false">Plan!G91</f>
        <v>2.45454545454545</v>
      </c>
      <c r="N12" s="13" t="n">
        <f aca="false">Plan!H91</f>
        <v>2.1</v>
      </c>
      <c r="O12" s="13" t="n">
        <f aca="false">Plan!I91</f>
        <v>2</v>
      </c>
      <c r="P12" s="13" t="n">
        <f aca="false">Plan!J91</f>
        <v>2.1</v>
      </c>
      <c r="Q12" s="13" t="n">
        <f aca="false">Plan!K91</f>
        <v>2.18181818181818</v>
      </c>
      <c r="R12" s="13" t="n">
        <f aca="false">Plan!L91</f>
        <v>2</v>
      </c>
      <c r="S12" s="13" t="n">
        <f aca="false">Plan!M91</f>
        <v>2.07692307692308</v>
      </c>
      <c r="T12" s="13" t="n">
        <f aca="false">Plan!N91</f>
        <v>2.07692307692308</v>
      </c>
    </row>
  </sheetData>
  <conditionalFormatting sqref="I5:T12">
    <cfRule type="expression" priority="2" aboveAverage="0" equalAverage="0" bottom="0" percent="0" rank="0" text="" dxfId="0">
      <formula>AND(I5&lt;&gt;"",I5&lt;$C5)</formula>
    </cfRule>
    <cfRule type="expression" priority="3" aboveAverage="0" equalAverage="0" bottom="0" percent="0" rank="0" text="" dxfId="1">
      <formula>AND(I5&lt;&gt;"",I5&gt;$C5+1)</formula>
    </cfRule>
    <cfRule type="expression" priority="4" aboveAverage="0" equalAverage="0" bottom="0" percent="0" rank="0" text="" dxfId="2">
      <formula>AND(I5&lt;&gt;"",I5&gt;=$C5,I5&lt;=$C5+1)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16"/>
    <col collapsed="false" customWidth="true" hidden="false" outlineLevel="0" max="2" min="2" style="0" width="34"/>
    <col collapsed="false" customWidth="true" hidden="false" outlineLevel="0" max="17" min="3" style="0" width="9"/>
  </cols>
  <sheetData>
    <row r="1" customFormat="false" ht="17.35" hidden="false" customHeight="false" outlineLevel="0" collapsed="false">
      <c r="B1" s="1" t="s">
        <v>43</v>
      </c>
    </row>
    <row r="2" customFormat="false" ht="15" hidden="false" customHeight="false" outlineLevel="0" collapsed="false">
      <c r="B2" s="5" t="s">
        <v>44</v>
      </c>
      <c r="C2" s="14" t="n">
        <f aca="false">MIN('Opening Stock'!$C$2:$C$1000)</f>
        <v>46327</v>
      </c>
      <c r="O2" s="15" t="s">
        <v>45</v>
      </c>
    </row>
    <row r="3" customFormat="false" ht="15" hidden="false" customHeight="false" outlineLevel="0" collapsed="false">
      <c r="B3" s="16" t="s">
        <v>46</v>
      </c>
      <c r="C3" s="16" t="n">
        <v>1</v>
      </c>
      <c r="D3" s="16" t="n">
        <v>2</v>
      </c>
      <c r="E3" s="16" t="n">
        <v>3</v>
      </c>
      <c r="F3" s="16" t="n">
        <v>4</v>
      </c>
      <c r="G3" s="16" t="n">
        <v>5</v>
      </c>
      <c r="H3" s="16" t="n">
        <v>6</v>
      </c>
      <c r="I3" s="16" t="n">
        <v>7</v>
      </c>
      <c r="J3" s="16" t="n">
        <v>8</v>
      </c>
      <c r="K3" s="16" t="n">
        <v>9</v>
      </c>
      <c r="L3" s="16" t="n">
        <v>10</v>
      </c>
      <c r="M3" s="16" t="n">
        <v>11</v>
      </c>
      <c r="N3" s="16" t="n">
        <v>12</v>
      </c>
      <c r="O3" s="16" t="n">
        <v>13</v>
      </c>
      <c r="P3" s="16" t="n">
        <v>14</v>
      </c>
      <c r="Q3" s="16" t="n">
        <v>15</v>
      </c>
    </row>
    <row r="4" customFormat="false" ht="15" hidden="false" customHeight="false" outlineLevel="0" collapsed="false">
      <c r="B4" s="5" t="s">
        <v>47</v>
      </c>
      <c r="C4" s="7" t="n">
        <f aca="false">EDATE($C$2,0)</f>
        <v>46327</v>
      </c>
      <c r="D4" s="7" t="n">
        <f aca="false">EDATE($C$2,1)</f>
        <v>46357</v>
      </c>
      <c r="E4" s="7" t="n">
        <f aca="false">EDATE($C$2,2)</f>
        <v>46388</v>
      </c>
      <c r="F4" s="7" t="n">
        <f aca="false">EDATE($C$2,3)</f>
        <v>46419</v>
      </c>
      <c r="G4" s="7" t="n">
        <f aca="false">EDATE($C$2,4)</f>
        <v>46447</v>
      </c>
      <c r="H4" s="7" t="n">
        <f aca="false">EDATE($C$2,5)</f>
        <v>46478</v>
      </c>
      <c r="I4" s="7" t="n">
        <f aca="false">EDATE($C$2,6)</f>
        <v>46508</v>
      </c>
      <c r="J4" s="7" t="n">
        <f aca="false">EDATE($C$2,7)</f>
        <v>46539</v>
      </c>
      <c r="K4" s="7" t="n">
        <f aca="false">EDATE($C$2,8)</f>
        <v>46569</v>
      </c>
      <c r="L4" s="7" t="n">
        <f aca="false">EDATE($C$2,9)</f>
        <v>46600</v>
      </c>
      <c r="M4" s="7" t="n">
        <f aca="false">EDATE($C$2,10)</f>
        <v>46631</v>
      </c>
      <c r="N4" s="7" t="n">
        <f aca="false">EDATE($C$2,11)</f>
        <v>46661</v>
      </c>
      <c r="O4" s="17" t="n">
        <f aca="false">EDATE($C$2,12)</f>
        <v>46692</v>
      </c>
      <c r="P4" s="17" t="n">
        <f aca="false">EDATE($C$2,13)</f>
        <v>46722</v>
      </c>
      <c r="Q4" s="17" t="n">
        <f aca="false">EDATE($C$2,14)</f>
        <v>46753</v>
      </c>
    </row>
    <row r="6" customFormat="false" ht="15" hidden="false" customHeight="false" outlineLevel="0" collapsed="false">
      <c r="A6" s="18" t="str">
        <f aca="false">INDEX(Settings!$B$2:$B$100,1)</f>
        <v>Ambiente</v>
      </c>
      <c r="B6" s="18" t="str">
        <f aca="false">INDEX(Settings!$A$2:$A$100,1)&amp;" - "&amp;A6</f>
        <v>Territory - Ambiente</v>
      </c>
      <c r="C6" s="18" t="s">
        <v>39</v>
      </c>
      <c r="D6" s="18" t="n">
        <f aca="false">INDEX(Settings!$C$2:$C$100,MATCH($A6,Settings!$B$2:$B$100,0))</f>
        <v>3</v>
      </c>
      <c r="E6" s="18" t="s">
        <v>48</v>
      </c>
      <c r="F6" s="18" t="n">
        <f aca="false">INDEX(Settings!$D$2:$D$100,MATCH($A6,Settings!$B$2:$B$100,0))</f>
        <v>3</v>
      </c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</row>
    <row r="7" customFormat="false" ht="15" hidden="false" customHeight="false" outlineLevel="0" collapsed="false">
      <c r="A7" s="16" t="str">
        <f aca="false">$A$6</f>
        <v>Ambiente</v>
      </c>
      <c r="B7" s="8" t="s">
        <v>49</v>
      </c>
      <c r="C7" s="20" t="n">
        <f aca="false">SUMIFS('Opening Stock'!$D$2:$D$1000,'Opening Stock'!$B$2:$B$1000,$A6)</f>
        <v>80</v>
      </c>
      <c r="D7" s="20" t="n">
        <f aca="false">C11</f>
        <v>80</v>
      </c>
      <c r="E7" s="20" t="n">
        <f aca="false">D11</f>
        <v>80</v>
      </c>
      <c r="F7" s="20" t="n">
        <f aca="false">E11</f>
        <v>80</v>
      </c>
      <c r="G7" s="20" t="n">
        <f aca="false">F11</f>
        <v>74</v>
      </c>
      <c r="H7" s="20" t="n">
        <f aca="false">G11</f>
        <v>66</v>
      </c>
      <c r="I7" s="20" t="n">
        <f aca="false">H11</f>
        <v>61</v>
      </c>
      <c r="J7" s="20" t="n">
        <f aca="false">I11</f>
        <v>59</v>
      </c>
      <c r="K7" s="20" t="n">
        <f aca="false">J11</f>
        <v>63</v>
      </c>
      <c r="L7" s="20" t="n">
        <f aca="false">K11</f>
        <v>69</v>
      </c>
      <c r="M7" s="20" t="n">
        <f aca="false">L11</f>
        <v>74</v>
      </c>
      <c r="N7" s="20" t="n">
        <f aca="false">M11</f>
        <v>79</v>
      </c>
    </row>
    <row r="8" customFormat="false" ht="15" hidden="false" customHeight="false" outlineLevel="0" collapsed="false">
      <c r="A8" s="16" t="str">
        <f aca="false">$A$6</f>
        <v>Ambiente</v>
      </c>
      <c r="B8" s="8" t="s">
        <v>50</v>
      </c>
      <c r="C8" s="20" t="n">
        <f aca="false">SUMIFS(Orders!$E$2:$E$2000,Orders!$C$2:$C$2000,$A6,Orders!$H$2:$H$2000,C$4)</f>
        <v>25</v>
      </c>
      <c r="D8" s="20" t="n">
        <f aca="false">SUMIFS(Orders!$E$2:$E$2000,Orders!$C$2:$C$2000,$A6,Orders!$H$2:$H$2000,D$4)</f>
        <v>29</v>
      </c>
      <c r="E8" s="20" t="n">
        <f aca="false">SUMIFS(Orders!$E$2:$E$2000,Orders!$C$2:$C$2000,$A6,Orders!$H$2:$H$2000,E$4)</f>
        <v>26</v>
      </c>
      <c r="F8" s="20" t="n">
        <f aca="false">SUMIFS(Orders!$E$2:$E$2000,Orders!$C$2:$C$2000,$A6,Orders!$H$2:$H$2000,F$4)</f>
        <v>0</v>
      </c>
      <c r="G8" s="20" t="n">
        <f aca="false">SUMIFS(Orders!$E$2:$E$2000,Orders!$C$2:$C$2000,$A6,Orders!$H$2:$H$2000,G$4)</f>
        <v>0</v>
      </c>
      <c r="H8" s="20" t="n">
        <f aca="false">SUMIFS(Orders!$E$2:$E$2000,Orders!$C$2:$C$2000,$A6,Orders!$H$2:$H$2000,H$4)</f>
        <v>0</v>
      </c>
      <c r="I8" s="20" t="n">
        <f aca="false">SUMIFS(Orders!$E$2:$E$2000,Orders!$C$2:$C$2000,$A6,Orders!$H$2:$H$2000,I$4)</f>
        <v>0</v>
      </c>
      <c r="J8" s="20" t="n">
        <f aca="false">SUMIFS(Orders!$E$2:$E$2000,Orders!$C$2:$C$2000,$A6,Orders!$H$2:$H$2000,J$4)</f>
        <v>0</v>
      </c>
      <c r="K8" s="20" t="n">
        <f aca="false">SUMIFS(Orders!$E$2:$E$2000,Orders!$C$2:$C$2000,$A6,Orders!$H$2:$H$2000,K$4)</f>
        <v>0</v>
      </c>
      <c r="L8" s="20" t="n">
        <f aca="false">SUMIFS(Orders!$E$2:$E$2000,Orders!$C$2:$C$2000,$A6,Orders!$H$2:$H$2000,L$4)</f>
        <v>0</v>
      </c>
      <c r="M8" s="20" t="n">
        <f aca="false">SUMIFS(Orders!$E$2:$E$2000,Orders!$C$2:$C$2000,$A6,Orders!$H$2:$H$2000,M$4)</f>
        <v>0</v>
      </c>
      <c r="N8" s="20" t="n">
        <f aca="false">SUMIFS(Orders!$E$2:$E$2000,Orders!$C$2:$C$2000,$A6,Orders!$H$2:$H$2000,N$4)</f>
        <v>0</v>
      </c>
    </row>
    <row r="9" customFormat="false" ht="15" hidden="false" customHeight="false" outlineLevel="0" collapsed="false">
      <c r="A9" s="16" t="str">
        <f aca="false">$A$6</f>
        <v>Ambiente</v>
      </c>
      <c r="B9" s="8" t="s">
        <v>51</v>
      </c>
      <c r="C9" s="21" t="n">
        <f aca="false">IF(C$3&lt;=$F$6,0,MAX(0,ROUNDUP(C13-(C7+C8-C10),0)))</f>
        <v>0</v>
      </c>
      <c r="D9" s="21" t="n">
        <f aca="false">IF(D$3&lt;=$F$6,0,MAX(0,ROUNDUP(D13-(D7+D8-D10),0)))</f>
        <v>0</v>
      </c>
      <c r="E9" s="21" t="n">
        <f aca="false">IF(E$3&lt;=$F$6,0,MAX(0,ROUNDUP(E13-(E7+E8-E10),0)))</f>
        <v>0</v>
      </c>
      <c r="F9" s="20" t="n">
        <f aca="false">IF(F$3&lt;=$F$6,0,MAX(0,ROUNDUP(F13-(F7+F8-F10),0)))</f>
        <v>24</v>
      </c>
      <c r="G9" s="20" t="n">
        <f aca="false">IF(G$3&lt;=$F$6,0,MAX(0,ROUNDUP(G13-(G7+G8-G10),0)))</f>
        <v>20</v>
      </c>
      <c r="H9" s="20" t="n">
        <f aca="false">IF(H$3&lt;=$F$6,0,MAX(0,ROUNDUP(H13-(H7+H8-H10),0)))</f>
        <v>19</v>
      </c>
      <c r="I9" s="20" t="n">
        <f aca="false">IF(I$3&lt;=$F$6,0,MAX(0,ROUNDUP(I13-(I7+I8-I10),0)))</f>
        <v>20</v>
      </c>
      <c r="J9" s="20" t="n">
        <f aca="false">IF(J$3&lt;=$F$6,0,MAX(0,ROUNDUP(J13-(J7+J8-J10),0)))</f>
        <v>24</v>
      </c>
      <c r="K9" s="20" t="n">
        <f aca="false">IF(K$3&lt;=$F$6,0,MAX(0,ROUNDUP(K13-(K7+K8-K10),0)))</f>
        <v>25</v>
      </c>
      <c r="L9" s="20" t="n">
        <f aca="false">IF(L$3&lt;=$F$6,0,MAX(0,ROUNDUP(L13-(L7+L8-L10),0)))</f>
        <v>25</v>
      </c>
      <c r="M9" s="20" t="n">
        <f aca="false">IF(M$3&lt;=$F$6,0,MAX(0,ROUNDUP(M13-(M7+M8-M10),0)))</f>
        <v>29</v>
      </c>
      <c r="N9" s="20" t="n">
        <f aca="false">IF(N$3&lt;=$F$6,0,MAX(0,ROUNDUP(N13-(N7+N8-N10),0)))</f>
        <v>26</v>
      </c>
    </row>
    <row r="10" customFormat="false" ht="15" hidden="false" customHeight="false" outlineLevel="0" collapsed="false">
      <c r="A10" s="16" t="str">
        <f aca="false">$A$6</f>
        <v>Ambiente</v>
      </c>
      <c r="B10" s="8" t="s">
        <v>52</v>
      </c>
      <c r="C10" s="20" t="n">
        <f aca="false">IF(COUNTIFS(Sales!$B$2:$B$2000,$A6,Sales!$C$2:$C$2000,C$4,Sales!$E$2:$E$2000,"Actual")&gt;0,SUMIFS(Sales!$D$2:$D$2000,Sales!$B$2:$B$2000,$A6,Sales!$C$2:$C$2000,C$4,Sales!$E$2:$E$2000,"Actual"),SUMIFS(Sales!$D$2:$D$2000,Sales!$B$2:$B$2000,$A6,Sales!$C$2:$C$2000,C$4,Sales!$E$2:$E$2000,"Forecast"))</f>
        <v>25</v>
      </c>
      <c r="D10" s="20" t="n">
        <f aca="false">IF(COUNTIFS(Sales!$B$2:$B$2000,$A6,Sales!$C$2:$C$2000,D$4,Sales!$E$2:$E$2000,"Actual")&gt;0,SUMIFS(Sales!$D$2:$D$2000,Sales!$B$2:$B$2000,$A6,Sales!$C$2:$C$2000,D$4,Sales!$E$2:$E$2000,"Actual"),SUMIFS(Sales!$D$2:$D$2000,Sales!$B$2:$B$2000,$A6,Sales!$C$2:$C$2000,D$4,Sales!$E$2:$E$2000,"Forecast"))</f>
        <v>29</v>
      </c>
      <c r="E10" s="20" t="n">
        <f aca="false">IF(COUNTIFS(Sales!$B$2:$B$2000,$A6,Sales!$C$2:$C$2000,E$4,Sales!$E$2:$E$2000,"Actual")&gt;0,SUMIFS(Sales!$D$2:$D$2000,Sales!$B$2:$B$2000,$A6,Sales!$C$2:$C$2000,E$4,Sales!$E$2:$E$2000,"Actual"),SUMIFS(Sales!$D$2:$D$2000,Sales!$B$2:$B$2000,$A6,Sales!$C$2:$C$2000,E$4,Sales!$E$2:$E$2000,"Forecast"))</f>
        <v>26</v>
      </c>
      <c r="F10" s="20" t="n">
        <f aca="false">IF(COUNTIFS(Sales!$B$2:$B$2000,$A6,Sales!$C$2:$C$2000,F$4,Sales!$E$2:$E$2000,"Actual")&gt;0,SUMIFS(Sales!$D$2:$D$2000,Sales!$B$2:$B$2000,$A6,Sales!$C$2:$C$2000,F$4,Sales!$E$2:$E$2000,"Actual"),SUMIFS(Sales!$D$2:$D$2000,Sales!$B$2:$B$2000,$A6,Sales!$C$2:$C$2000,F$4,Sales!$E$2:$E$2000,"Forecast"))</f>
        <v>30</v>
      </c>
      <c r="G10" s="20" t="n">
        <f aca="false">IF(COUNTIFS(Sales!$B$2:$B$2000,$A6,Sales!$C$2:$C$2000,G$4,Sales!$E$2:$E$2000,"Actual")&gt;0,SUMIFS(Sales!$D$2:$D$2000,Sales!$B$2:$B$2000,$A6,Sales!$C$2:$C$2000,G$4,Sales!$E$2:$E$2000,"Actual"),SUMIFS(Sales!$D$2:$D$2000,Sales!$B$2:$B$2000,$A6,Sales!$C$2:$C$2000,G$4,Sales!$E$2:$E$2000,"Forecast"))</f>
        <v>28</v>
      </c>
      <c r="H10" s="20" t="n">
        <f aca="false">IF(COUNTIFS(Sales!$B$2:$B$2000,$A6,Sales!$C$2:$C$2000,H$4,Sales!$E$2:$E$2000,"Actual")&gt;0,SUMIFS(Sales!$D$2:$D$2000,Sales!$B$2:$B$2000,$A6,Sales!$C$2:$C$2000,H$4,Sales!$E$2:$E$2000,"Actual"),SUMIFS(Sales!$D$2:$D$2000,Sales!$B$2:$B$2000,$A6,Sales!$C$2:$C$2000,H$4,Sales!$E$2:$E$2000,"Forecast"))</f>
        <v>24</v>
      </c>
      <c r="I10" s="20" t="n">
        <f aca="false">IF(COUNTIFS(Sales!$B$2:$B$2000,$A6,Sales!$C$2:$C$2000,I$4,Sales!$E$2:$E$2000,"Actual")&gt;0,SUMIFS(Sales!$D$2:$D$2000,Sales!$B$2:$B$2000,$A6,Sales!$C$2:$C$2000,I$4,Sales!$E$2:$E$2000,"Actual"),SUMIFS(Sales!$D$2:$D$2000,Sales!$B$2:$B$2000,$A6,Sales!$C$2:$C$2000,I$4,Sales!$E$2:$E$2000,"Forecast"))</f>
        <v>22</v>
      </c>
      <c r="J10" s="20" t="n">
        <f aca="false">IF(COUNTIFS(Sales!$B$2:$B$2000,$A6,Sales!$C$2:$C$2000,J$4,Sales!$E$2:$E$2000,"Actual")&gt;0,SUMIFS(Sales!$D$2:$D$2000,Sales!$B$2:$B$2000,$A6,Sales!$C$2:$C$2000,J$4,Sales!$E$2:$E$2000,"Actual"),SUMIFS(Sales!$D$2:$D$2000,Sales!$B$2:$B$2000,$A6,Sales!$C$2:$C$2000,J$4,Sales!$E$2:$E$2000,"Forecast"))</f>
        <v>20</v>
      </c>
      <c r="K10" s="20" t="n">
        <f aca="false">IF(COUNTIFS(Sales!$B$2:$B$2000,$A6,Sales!$C$2:$C$2000,K$4,Sales!$E$2:$E$2000,"Actual")&gt;0,SUMIFS(Sales!$D$2:$D$2000,Sales!$B$2:$B$2000,$A6,Sales!$C$2:$C$2000,K$4,Sales!$E$2:$E$2000,"Actual"),SUMIFS(Sales!$D$2:$D$2000,Sales!$B$2:$B$2000,$A6,Sales!$C$2:$C$2000,K$4,Sales!$E$2:$E$2000,"Forecast"))</f>
        <v>19</v>
      </c>
      <c r="L10" s="20" t="n">
        <f aca="false">IF(COUNTIFS(Sales!$B$2:$B$2000,$A6,Sales!$C$2:$C$2000,L$4,Sales!$E$2:$E$2000,"Actual")&gt;0,SUMIFS(Sales!$D$2:$D$2000,Sales!$B$2:$B$2000,$A6,Sales!$C$2:$C$2000,L$4,Sales!$E$2:$E$2000,"Actual"),SUMIFS(Sales!$D$2:$D$2000,Sales!$B$2:$B$2000,$A6,Sales!$C$2:$C$2000,L$4,Sales!$E$2:$E$2000,"Forecast"))</f>
        <v>20</v>
      </c>
      <c r="M10" s="20" t="n">
        <f aca="false">IF(COUNTIFS(Sales!$B$2:$B$2000,$A6,Sales!$C$2:$C$2000,M$4,Sales!$E$2:$E$2000,"Actual")&gt;0,SUMIFS(Sales!$D$2:$D$2000,Sales!$B$2:$B$2000,$A6,Sales!$C$2:$C$2000,M$4,Sales!$E$2:$E$2000,"Actual"),SUMIFS(Sales!$D$2:$D$2000,Sales!$B$2:$B$2000,$A6,Sales!$C$2:$C$2000,M$4,Sales!$E$2:$E$2000,"Forecast"))</f>
        <v>24</v>
      </c>
      <c r="N10" s="20" t="n">
        <f aca="false">IF(COUNTIFS(Sales!$B$2:$B$2000,$A6,Sales!$C$2:$C$2000,N$4,Sales!$E$2:$E$2000,"Actual")&gt;0,SUMIFS(Sales!$D$2:$D$2000,Sales!$B$2:$B$2000,$A6,Sales!$C$2:$C$2000,N$4,Sales!$E$2:$E$2000,"Actual"),SUMIFS(Sales!$D$2:$D$2000,Sales!$B$2:$B$2000,$A6,Sales!$C$2:$C$2000,N$4,Sales!$E$2:$E$2000,"Forecast"))</f>
        <v>25</v>
      </c>
      <c r="O10" s="22" t="n">
        <f aca="false">IF(COUNTIFS(Sales!$B$2:$B$2000,$A6,Sales!$C$2:$C$2000,O$4,Sales!$E$2:$E$2000,"Actual")&gt;0,SUMIFS(Sales!$D$2:$D$2000,Sales!$B$2:$B$2000,$A6,Sales!$C$2:$C$2000,O$4,Sales!$E$2:$E$2000,"Actual"),SUMIFS(Sales!$D$2:$D$2000,Sales!$B$2:$B$2000,$A6,Sales!$C$2:$C$2000,O$4,Sales!$E$2:$E$2000,"Forecast"))</f>
        <v>25</v>
      </c>
      <c r="P10" s="22" t="n">
        <f aca="false">IF(COUNTIFS(Sales!$B$2:$B$2000,$A6,Sales!$C$2:$C$2000,P$4,Sales!$E$2:$E$2000,"Actual")&gt;0,SUMIFS(Sales!$D$2:$D$2000,Sales!$B$2:$B$2000,$A6,Sales!$C$2:$C$2000,P$4,Sales!$E$2:$E$2000,"Actual"),SUMIFS(Sales!$D$2:$D$2000,Sales!$B$2:$B$2000,$A6,Sales!$C$2:$C$2000,P$4,Sales!$E$2:$E$2000,"Forecast"))</f>
        <v>29</v>
      </c>
      <c r="Q10" s="22" t="n">
        <f aca="false">IF(COUNTIFS(Sales!$B$2:$B$2000,$A6,Sales!$C$2:$C$2000,Q$4,Sales!$E$2:$E$2000,"Actual")&gt;0,SUMIFS(Sales!$D$2:$D$2000,Sales!$B$2:$B$2000,$A6,Sales!$C$2:$C$2000,Q$4,Sales!$E$2:$E$2000,"Actual"),SUMIFS(Sales!$D$2:$D$2000,Sales!$B$2:$B$2000,$A6,Sales!$C$2:$C$2000,Q$4,Sales!$E$2:$E$2000,"Forecast"))</f>
        <v>26</v>
      </c>
    </row>
    <row r="11" customFormat="false" ht="15" hidden="false" customHeight="false" outlineLevel="0" collapsed="false">
      <c r="A11" s="16" t="str">
        <f aca="false">$A$6</f>
        <v>Ambiente</v>
      </c>
      <c r="B11" s="5" t="s">
        <v>53</v>
      </c>
      <c r="C11" s="23" t="n">
        <f aca="false">C7+C8+C9-C10</f>
        <v>80</v>
      </c>
      <c r="D11" s="23" t="n">
        <f aca="false">D7+D8+D9-D10</f>
        <v>80</v>
      </c>
      <c r="E11" s="23" t="n">
        <f aca="false">E7+E8+E9-E10</f>
        <v>80</v>
      </c>
      <c r="F11" s="23" t="n">
        <f aca="false">F7+F8+F9-F10</f>
        <v>74</v>
      </c>
      <c r="G11" s="23" t="n">
        <f aca="false">G7+G8+G9-G10</f>
        <v>66</v>
      </c>
      <c r="H11" s="23" t="n">
        <f aca="false">H7+H8+H9-H10</f>
        <v>61</v>
      </c>
      <c r="I11" s="23" t="n">
        <f aca="false">I7+I8+I9-I10</f>
        <v>59</v>
      </c>
      <c r="J11" s="23" t="n">
        <f aca="false">J7+J8+J9-J10</f>
        <v>63</v>
      </c>
      <c r="K11" s="23" t="n">
        <f aca="false">K7+K8+K9-K10</f>
        <v>69</v>
      </c>
      <c r="L11" s="23" t="n">
        <f aca="false">L7+L8+L9-L10</f>
        <v>74</v>
      </c>
      <c r="M11" s="23" t="n">
        <f aca="false">M7+M8+M9-M10</f>
        <v>79</v>
      </c>
      <c r="N11" s="23" t="n">
        <f aca="false">N7+N8+N9-N10</f>
        <v>80</v>
      </c>
    </row>
    <row r="12" customFormat="false" ht="15" hidden="false" customHeight="false" outlineLevel="0" collapsed="false">
      <c r="A12" s="16" t="str">
        <f aca="false">$A$6</f>
        <v>Ambiente</v>
      </c>
      <c r="B12" s="8" t="s">
        <v>54</v>
      </c>
      <c r="C12" s="10" t="n">
        <f aca="false">AVERAGE(D10:F10)</f>
        <v>28.3333333333333</v>
      </c>
      <c r="D12" s="10" t="n">
        <f aca="false">AVERAGE(E10:G10)</f>
        <v>28</v>
      </c>
      <c r="E12" s="10" t="n">
        <f aca="false">AVERAGE(F10:H10)</f>
        <v>27.3333333333333</v>
      </c>
      <c r="F12" s="10" t="n">
        <f aca="false">AVERAGE(G10:I10)</f>
        <v>24.6666666666667</v>
      </c>
      <c r="G12" s="10" t="n">
        <f aca="false">AVERAGE(H10:J10)</f>
        <v>22</v>
      </c>
      <c r="H12" s="10" t="n">
        <f aca="false">AVERAGE(I10:K10)</f>
        <v>20.3333333333333</v>
      </c>
      <c r="I12" s="10" t="n">
        <f aca="false">AVERAGE(J10:L10)</f>
        <v>19.6666666666667</v>
      </c>
      <c r="J12" s="10" t="n">
        <f aca="false">AVERAGE(K10:M10)</f>
        <v>21</v>
      </c>
      <c r="K12" s="10" t="n">
        <f aca="false">AVERAGE(L10:N10)</f>
        <v>23</v>
      </c>
      <c r="L12" s="10" t="n">
        <f aca="false">AVERAGE(M10:O10)</f>
        <v>24.6666666666667</v>
      </c>
      <c r="M12" s="10" t="n">
        <f aca="false">AVERAGE(N10:P10)</f>
        <v>26.3333333333333</v>
      </c>
      <c r="N12" s="10" t="n">
        <f aca="false">AVERAGE(O10:Q10)</f>
        <v>26.6666666666667</v>
      </c>
    </row>
    <row r="13" customFormat="false" ht="15" hidden="false" customHeight="false" outlineLevel="0" collapsed="false">
      <c r="A13" s="16" t="str">
        <f aca="false">$A$6</f>
        <v>Ambiente</v>
      </c>
      <c r="B13" s="8" t="s">
        <v>55</v>
      </c>
      <c r="C13" s="10" t="n">
        <f aca="false">$D$6*C12</f>
        <v>85</v>
      </c>
      <c r="D13" s="10" t="n">
        <f aca="false">$D$6*D12</f>
        <v>84</v>
      </c>
      <c r="E13" s="10" t="n">
        <f aca="false">$D$6*E12</f>
        <v>82</v>
      </c>
      <c r="F13" s="10" t="n">
        <f aca="false">$D$6*F12</f>
        <v>74</v>
      </c>
      <c r="G13" s="10" t="n">
        <f aca="false">$D$6*G12</f>
        <v>66</v>
      </c>
      <c r="H13" s="10" t="n">
        <f aca="false">$D$6*H12</f>
        <v>61</v>
      </c>
      <c r="I13" s="10" t="n">
        <f aca="false">$D$6*I12</f>
        <v>59</v>
      </c>
      <c r="J13" s="10" t="n">
        <f aca="false">$D$6*J12</f>
        <v>63</v>
      </c>
      <c r="K13" s="10" t="n">
        <f aca="false">$D$6*K12</f>
        <v>69</v>
      </c>
      <c r="L13" s="10" t="n">
        <f aca="false">$D$6*L12</f>
        <v>74</v>
      </c>
      <c r="M13" s="10" t="n">
        <f aca="false">$D$6*M12</f>
        <v>79</v>
      </c>
      <c r="N13" s="10" t="n">
        <f aca="false">$D$6*N12</f>
        <v>80</v>
      </c>
    </row>
    <row r="14" customFormat="false" ht="15" hidden="false" customHeight="false" outlineLevel="0" collapsed="false">
      <c r="A14" s="16" t="str">
        <f aca="false">$A$6</f>
        <v>Ambiente</v>
      </c>
      <c r="B14" s="5" t="s">
        <v>56</v>
      </c>
      <c r="C14" s="10" t="n">
        <f aca="false">IFERROR(C11/C12,"")</f>
        <v>2.82352941176471</v>
      </c>
      <c r="D14" s="10" t="n">
        <f aca="false">IFERROR(D11/D12,"")</f>
        <v>2.85714285714286</v>
      </c>
      <c r="E14" s="10" t="n">
        <f aca="false">IFERROR(E11/E12,"")</f>
        <v>2.92682926829268</v>
      </c>
      <c r="F14" s="10" t="n">
        <f aca="false">IFERROR(F11/F12,"")</f>
        <v>3</v>
      </c>
      <c r="G14" s="10" t="n">
        <f aca="false">IFERROR(G11/G12,"")</f>
        <v>3</v>
      </c>
      <c r="H14" s="10" t="n">
        <f aca="false">IFERROR(H11/H12,"")</f>
        <v>3</v>
      </c>
      <c r="I14" s="10" t="n">
        <f aca="false">IFERROR(I11/I12,"")</f>
        <v>3</v>
      </c>
      <c r="J14" s="10" t="n">
        <f aca="false">IFERROR(J11/J12,"")</f>
        <v>3</v>
      </c>
      <c r="K14" s="10" t="n">
        <f aca="false">IFERROR(K11/K12,"")</f>
        <v>3</v>
      </c>
      <c r="L14" s="10" t="n">
        <f aca="false">IFERROR(L11/L12,"")</f>
        <v>3</v>
      </c>
      <c r="M14" s="10" t="n">
        <f aca="false">IFERROR(M11/M12,"")</f>
        <v>3</v>
      </c>
      <c r="N14" s="10" t="n">
        <f aca="false">IFERROR(N11/N12,"")</f>
        <v>3</v>
      </c>
    </row>
    <row r="15" customFormat="false" ht="15" hidden="false" customHeight="false" outlineLevel="0" collapsed="false">
      <c r="A15" s="16" t="str">
        <f aca="false">$A$6</f>
        <v>Ambiente</v>
      </c>
      <c r="B15" s="5" t="s">
        <v>57</v>
      </c>
      <c r="C15" s="23" t="n">
        <f aca="false">IF(C$3+$F$6&lt;=12,INDEX($C$9:$N$9,C$3+$F$6),"")</f>
        <v>24</v>
      </c>
      <c r="D15" s="23" t="n">
        <f aca="false">IF(D$3+$F$6&lt;=12,INDEX($C$9:$N$9,D$3+$F$6),"")</f>
        <v>20</v>
      </c>
      <c r="E15" s="23" t="n">
        <f aca="false">IF(E$3+$F$6&lt;=12,INDEX($C$9:$N$9,E$3+$F$6),"")</f>
        <v>19</v>
      </c>
      <c r="F15" s="23" t="n">
        <f aca="false">IF(F$3+$F$6&lt;=12,INDEX($C$9:$N$9,F$3+$F$6),"")</f>
        <v>20</v>
      </c>
      <c r="G15" s="23" t="n">
        <f aca="false">IF(G$3+$F$6&lt;=12,INDEX($C$9:$N$9,G$3+$F$6),"")</f>
        <v>24</v>
      </c>
      <c r="H15" s="23" t="n">
        <f aca="false">IF(H$3+$F$6&lt;=12,INDEX($C$9:$N$9,H$3+$F$6),"")</f>
        <v>25</v>
      </c>
      <c r="I15" s="23" t="n">
        <f aca="false">IF(I$3+$F$6&lt;=12,INDEX($C$9:$N$9,I$3+$F$6),"")</f>
        <v>25</v>
      </c>
      <c r="J15" s="23" t="n">
        <f aca="false">IF(J$3+$F$6&lt;=12,INDEX($C$9:$N$9,J$3+$F$6),"")</f>
        <v>29</v>
      </c>
      <c r="K15" s="23" t="n">
        <f aca="false">IF(K$3+$F$6&lt;=12,INDEX($C$9:$N$9,K$3+$F$6),"")</f>
        <v>26</v>
      </c>
      <c r="L15" s="23" t="str">
        <f aca="false">IF(L$3+$F$6&lt;=12,INDEX($C$9:$N$9,L$3+$F$6),"")</f>
        <v/>
      </c>
      <c r="M15" s="23" t="str">
        <f aca="false">IF(M$3+$F$6&lt;=12,INDEX($C$9:$N$9,M$3+$F$6),"")</f>
        <v/>
      </c>
      <c r="N15" s="23" t="str">
        <f aca="false">IF(N$3+$F$6&lt;=12,INDEX($C$9:$N$9,N$3+$F$6),"")</f>
        <v/>
      </c>
    </row>
    <row r="17" customFormat="false" ht="15" hidden="false" customHeight="false" outlineLevel="0" collapsed="false">
      <c r="A17" s="18" t="str">
        <f aca="false">INDEX(Settings!$B$2:$B$100,2)</f>
        <v>Trend</v>
      </c>
      <c r="B17" s="18" t="str">
        <f aca="false">INDEX(Settings!$A$2:$A$100,2)&amp;" - "&amp;A17</f>
        <v>Territory - Trend</v>
      </c>
      <c r="C17" s="18" t="s">
        <v>39</v>
      </c>
      <c r="D17" s="18" t="n">
        <f aca="false">INDEX(Settings!$C$2:$C$100,MATCH($A17,Settings!$B$2:$B$100,0))</f>
        <v>3</v>
      </c>
      <c r="E17" s="18" t="s">
        <v>48</v>
      </c>
      <c r="F17" s="18" t="n">
        <f aca="false">INDEX(Settings!$D$2:$D$100,MATCH($A17,Settings!$B$2:$B$100,0))</f>
        <v>3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</row>
    <row r="18" customFormat="false" ht="15" hidden="false" customHeight="false" outlineLevel="0" collapsed="false">
      <c r="A18" s="16" t="str">
        <f aca="false">$A$17</f>
        <v>Trend</v>
      </c>
      <c r="B18" s="8" t="s">
        <v>49</v>
      </c>
      <c r="C18" s="20" t="n">
        <f aca="false">SUMIFS('Opening Stock'!$D$2:$D$1000,'Opening Stock'!$B$2:$B$1000,$A17)</f>
        <v>210</v>
      </c>
      <c r="D18" s="20" t="n">
        <f aca="false">C22</f>
        <v>210</v>
      </c>
      <c r="E18" s="20" t="n">
        <f aca="false">D22</f>
        <v>247</v>
      </c>
      <c r="F18" s="20" t="n">
        <f aca="false">E22</f>
        <v>210</v>
      </c>
      <c r="G18" s="20" t="n">
        <f aca="false">F22</f>
        <v>168</v>
      </c>
      <c r="H18" s="20" t="n">
        <f aca="false">G22</f>
        <v>130</v>
      </c>
      <c r="I18" s="20" t="n">
        <f aca="false">H22</f>
        <v>97</v>
      </c>
      <c r="J18" s="20" t="n">
        <f aca="false">I22</f>
        <v>82</v>
      </c>
      <c r="K18" s="20" t="n">
        <f aca="false">J22</f>
        <v>87</v>
      </c>
      <c r="L18" s="20" t="n">
        <f aca="false">K22</f>
        <v>96</v>
      </c>
      <c r="M18" s="20" t="n">
        <f aca="false">L22</f>
        <v>103</v>
      </c>
      <c r="N18" s="20" t="n">
        <f aca="false">M22</f>
        <v>110</v>
      </c>
    </row>
    <row r="19" customFormat="false" ht="15" hidden="false" customHeight="false" outlineLevel="0" collapsed="false">
      <c r="A19" s="16" t="str">
        <f aca="false">$A$17</f>
        <v>Trend</v>
      </c>
      <c r="B19" s="8" t="s">
        <v>50</v>
      </c>
      <c r="C19" s="20" t="n">
        <f aca="false">SUMIFS(Orders!$E$2:$E$2000,Orders!$C$2:$C$2000,$A17,Orders!$H$2:$H$2000,C$4)</f>
        <v>35</v>
      </c>
      <c r="D19" s="20" t="n">
        <f aca="false">SUMIFS(Orders!$E$2:$E$2000,Orders!$C$2:$C$2000,$A17,Orders!$H$2:$H$2000,D$4)</f>
        <v>77</v>
      </c>
      <c r="E19" s="20" t="n">
        <f aca="false">SUMIFS(Orders!$E$2:$E$2000,Orders!$C$2:$C$2000,$A17,Orders!$H$2:$H$2000,E$4)</f>
        <v>0</v>
      </c>
      <c r="F19" s="20" t="n">
        <f aca="false">SUMIFS(Orders!$E$2:$E$2000,Orders!$C$2:$C$2000,$A17,Orders!$H$2:$H$2000,F$4)</f>
        <v>0</v>
      </c>
      <c r="G19" s="20" t="n">
        <f aca="false">SUMIFS(Orders!$E$2:$E$2000,Orders!$C$2:$C$2000,$A17,Orders!$H$2:$H$2000,G$4)</f>
        <v>0</v>
      </c>
      <c r="H19" s="20" t="n">
        <f aca="false">SUMIFS(Orders!$E$2:$E$2000,Orders!$C$2:$C$2000,$A17,Orders!$H$2:$H$2000,H$4)</f>
        <v>0</v>
      </c>
      <c r="I19" s="20" t="n">
        <f aca="false">SUMIFS(Orders!$E$2:$E$2000,Orders!$C$2:$C$2000,$A17,Orders!$H$2:$H$2000,I$4)</f>
        <v>0</v>
      </c>
      <c r="J19" s="20" t="n">
        <f aca="false">SUMIFS(Orders!$E$2:$E$2000,Orders!$C$2:$C$2000,$A17,Orders!$H$2:$H$2000,J$4)</f>
        <v>0</v>
      </c>
      <c r="K19" s="20" t="n">
        <f aca="false">SUMIFS(Orders!$E$2:$E$2000,Orders!$C$2:$C$2000,$A17,Orders!$H$2:$H$2000,K$4)</f>
        <v>0</v>
      </c>
      <c r="L19" s="20" t="n">
        <f aca="false">SUMIFS(Orders!$E$2:$E$2000,Orders!$C$2:$C$2000,$A17,Orders!$H$2:$H$2000,L$4)</f>
        <v>0</v>
      </c>
      <c r="M19" s="20" t="n">
        <f aca="false">SUMIFS(Orders!$E$2:$E$2000,Orders!$C$2:$C$2000,$A17,Orders!$H$2:$H$2000,M$4)</f>
        <v>0</v>
      </c>
      <c r="N19" s="20" t="n">
        <f aca="false">SUMIFS(Orders!$E$2:$E$2000,Orders!$C$2:$C$2000,$A17,Orders!$H$2:$H$2000,N$4)</f>
        <v>0</v>
      </c>
    </row>
    <row r="20" customFormat="false" ht="15" hidden="false" customHeight="false" outlineLevel="0" collapsed="false">
      <c r="A20" s="16" t="str">
        <f aca="false">$A$17</f>
        <v>Trend</v>
      </c>
      <c r="B20" s="8" t="s">
        <v>51</v>
      </c>
      <c r="C20" s="21" t="n">
        <f aca="false">IF(C$3&lt;=$F$17,0,MAX(0,ROUNDUP(C24-(C18+C19-C21),0)))</f>
        <v>0</v>
      </c>
      <c r="D20" s="21" t="n">
        <f aca="false">IF(D$3&lt;=$F$17,0,MAX(0,ROUNDUP(D24-(D18+D19-D21),0)))</f>
        <v>0</v>
      </c>
      <c r="E20" s="21" t="n">
        <f aca="false">IF(E$3&lt;=$F$17,0,MAX(0,ROUNDUP(E24-(E18+E19-E21),0)))</f>
        <v>0</v>
      </c>
      <c r="F20" s="20" t="n">
        <f aca="false">IF(F$3&lt;=$F$17,0,MAX(0,ROUNDUP(F24-(F18+F19-F21),0)))</f>
        <v>0</v>
      </c>
      <c r="G20" s="20" t="n">
        <f aca="false">IF(G$3&lt;=$F$17,0,MAX(0,ROUNDUP(G24-(G18+G19-G21),0)))</f>
        <v>0</v>
      </c>
      <c r="H20" s="20" t="n">
        <f aca="false">IF(H$3&lt;=$F$17,0,MAX(0,ROUNDUP(H24-(H18+H19-H21),0)))</f>
        <v>0</v>
      </c>
      <c r="I20" s="20" t="n">
        <f aca="false">IF(I$3&lt;=$F$17,0,MAX(0,ROUNDUP(I24-(I18+I19-I21),0)))</f>
        <v>17</v>
      </c>
      <c r="J20" s="20" t="n">
        <f aca="false">IF(J$3&lt;=$F$17,0,MAX(0,ROUNDUP(J24-(J18+J19-J21),0)))</f>
        <v>33</v>
      </c>
      <c r="K20" s="20" t="n">
        <f aca="false">IF(K$3&lt;=$F$17,0,MAX(0,ROUNDUP(K24-(K18+K19-K21),0)))</f>
        <v>35</v>
      </c>
      <c r="L20" s="20" t="n">
        <f aca="false">IF(L$3&lt;=$F$17,0,MAX(0,ROUNDUP(L24-(L18+L19-L21),0)))</f>
        <v>35</v>
      </c>
      <c r="M20" s="20" t="n">
        <f aca="false">IF(M$3&lt;=$F$17,0,MAX(0,ROUNDUP(M24-(M18+M19-M21),0)))</f>
        <v>40</v>
      </c>
      <c r="N20" s="20" t="n">
        <f aca="false">IF(N$3&lt;=$F$17,0,MAX(0,ROUNDUP(N24-(N18+N19-N21),0)))</f>
        <v>37</v>
      </c>
    </row>
    <row r="21" customFormat="false" ht="15" hidden="false" customHeight="false" outlineLevel="0" collapsed="false">
      <c r="A21" s="16" t="str">
        <f aca="false">$A$17</f>
        <v>Trend</v>
      </c>
      <c r="B21" s="8" t="s">
        <v>52</v>
      </c>
      <c r="C21" s="20" t="n">
        <f aca="false">IF(COUNTIFS(Sales!$B$2:$B$2000,$A17,Sales!$C$2:$C$2000,C$4,Sales!$E$2:$E$2000,"Actual")&gt;0,SUMIFS(Sales!$D$2:$D$2000,Sales!$B$2:$B$2000,$A17,Sales!$C$2:$C$2000,C$4,Sales!$E$2:$E$2000,"Actual"),SUMIFS(Sales!$D$2:$D$2000,Sales!$B$2:$B$2000,$A17,Sales!$C$2:$C$2000,C$4,Sales!$E$2:$E$2000,"Forecast"))</f>
        <v>35</v>
      </c>
      <c r="D21" s="20" t="n">
        <f aca="false">IF(COUNTIFS(Sales!$B$2:$B$2000,$A17,Sales!$C$2:$C$2000,D$4,Sales!$E$2:$E$2000,"Actual")&gt;0,SUMIFS(Sales!$D$2:$D$2000,Sales!$B$2:$B$2000,$A17,Sales!$C$2:$C$2000,D$4,Sales!$E$2:$E$2000,"Actual"),SUMIFS(Sales!$D$2:$D$2000,Sales!$B$2:$B$2000,$A17,Sales!$C$2:$C$2000,D$4,Sales!$E$2:$E$2000,"Forecast"))</f>
        <v>40</v>
      </c>
      <c r="E21" s="20" t="n">
        <f aca="false">IF(COUNTIFS(Sales!$B$2:$B$2000,$A17,Sales!$C$2:$C$2000,E$4,Sales!$E$2:$E$2000,"Actual")&gt;0,SUMIFS(Sales!$D$2:$D$2000,Sales!$B$2:$B$2000,$A17,Sales!$C$2:$C$2000,E$4,Sales!$E$2:$E$2000,"Actual"),SUMIFS(Sales!$D$2:$D$2000,Sales!$B$2:$B$2000,$A17,Sales!$C$2:$C$2000,E$4,Sales!$E$2:$E$2000,"Forecast"))</f>
        <v>37</v>
      </c>
      <c r="F21" s="20" t="n">
        <f aca="false">IF(COUNTIFS(Sales!$B$2:$B$2000,$A17,Sales!$C$2:$C$2000,F$4,Sales!$E$2:$E$2000,"Actual")&gt;0,SUMIFS(Sales!$D$2:$D$2000,Sales!$B$2:$B$2000,$A17,Sales!$C$2:$C$2000,F$4,Sales!$E$2:$E$2000,"Actual"),SUMIFS(Sales!$D$2:$D$2000,Sales!$B$2:$B$2000,$A17,Sales!$C$2:$C$2000,F$4,Sales!$E$2:$E$2000,"Forecast"))</f>
        <v>42</v>
      </c>
      <c r="G21" s="20" t="n">
        <f aca="false">IF(COUNTIFS(Sales!$B$2:$B$2000,$A17,Sales!$C$2:$C$2000,G$4,Sales!$E$2:$E$2000,"Actual")&gt;0,SUMIFS(Sales!$D$2:$D$2000,Sales!$B$2:$B$2000,$A17,Sales!$C$2:$C$2000,G$4,Sales!$E$2:$E$2000,"Actual"),SUMIFS(Sales!$D$2:$D$2000,Sales!$B$2:$B$2000,$A17,Sales!$C$2:$C$2000,G$4,Sales!$E$2:$E$2000,"Forecast"))</f>
        <v>38</v>
      </c>
      <c r="H21" s="20" t="n">
        <f aca="false">IF(COUNTIFS(Sales!$B$2:$B$2000,$A17,Sales!$C$2:$C$2000,H$4,Sales!$E$2:$E$2000,"Actual")&gt;0,SUMIFS(Sales!$D$2:$D$2000,Sales!$B$2:$B$2000,$A17,Sales!$C$2:$C$2000,H$4,Sales!$E$2:$E$2000,"Actual"),SUMIFS(Sales!$D$2:$D$2000,Sales!$B$2:$B$2000,$A17,Sales!$C$2:$C$2000,H$4,Sales!$E$2:$E$2000,"Forecast"))</f>
        <v>33</v>
      </c>
      <c r="I21" s="20" t="n">
        <f aca="false">IF(COUNTIFS(Sales!$B$2:$B$2000,$A17,Sales!$C$2:$C$2000,I$4,Sales!$E$2:$E$2000,"Actual")&gt;0,SUMIFS(Sales!$D$2:$D$2000,Sales!$B$2:$B$2000,$A17,Sales!$C$2:$C$2000,I$4,Sales!$E$2:$E$2000,"Actual"),SUMIFS(Sales!$D$2:$D$2000,Sales!$B$2:$B$2000,$A17,Sales!$C$2:$C$2000,I$4,Sales!$E$2:$E$2000,"Forecast"))</f>
        <v>32</v>
      </c>
      <c r="J21" s="20" t="n">
        <f aca="false">IF(COUNTIFS(Sales!$B$2:$B$2000,$A17,Sales!$C$2:$C$2000,J$4,Sales!$E$2:$E$2000,"Actual")&gt;0,SUMIFS(Sales!$D$2:$D$2000,Sales!$B$2:$B$2000,$A17,Sales!$C$2:$C$2000,J$4,Sales!$E$2:$E$2000,"Actual"),SUMIFS(Sales!$D$2:$D$2000,Sales!$B$2:$B$2000,$A17,Sales!$C$2:$C$2000,J$4,Sales!$E$2:$E$2000,"Forecast"))</f>
        <v>28</v>
      </c>
      <c r="K21" s="20" t="n">
        <f aca="false">IF(COUNTIFS(Sales!$B$2:$B$2000,$A17,Sales!$C$2:$C$2000,K$4,Sales!$E$2:$E$2000,"Actual")&gt;0,SUMIFS(Sales!$D$2:$D$2000,Sales!$B$2:$B$2000,$A17,Sales!$C$2:$C$2000,K$4,Sales!$E$2:$E$2000,"Actual"),SUMIFS(Sales!$D$2:$D$2000,Sales!$B$2:$B$2000,$A17,Sales!$C$2:$C$2000,K$4,Sales!$E$2:$E$2000,"Forecast"))</f>
        <v>26</v>
      </c>
      <c r="L21" s="20" t="n">
        <f aca="false">IF(COUNTIFS(Sales!$B$2:$B$2000,$A17,Sales!$C$2:$C$2000,L$4,Sales!$E$2:$E$2000,"Actual")&gt;0,SUMIFS(Sales!$D$2:$D$2000,Sales!$B$2:$B$2000,$A17,Sales!$C$2:$C$2000,L$4,Sales!$E$2:$E$2000,"Actual"),SUMIFS(Sales!$D$2:$D$2000,Sales!$B$2:$B$2000,$A17,Sales!$C$2:$C$2000,L$4,Sales!$E$2:$E$2000,"Forecast"))</f>
        <v>28</v>
      </c>
      <c r="M21" s="20" t="n">
        <f aca="false">IF(COUNTIFS(Sales!$B$2:$B$2000,$A17,Sales!$C$2:$C$2000,M$4,Sales!$E$2:$E$2000,"Actual")&gt;0,SUMIFS(Sales!$D$2:$D$2000,Sales!$B$2:$B$2000,$A17,Sales!$C$2:$C$2000,M$4,Sales!$E$2:$E$2000,"Actual"),SUMIFS(Sales!$D$2:$D$2000,Sales!$B$2:$B$2000,$A17,Sales!$C$2:$C$2000,M$4,Sales!$E$2:$E$2000,"Forecast"))</f>
        <v>33</v>
      </c>
      <c r="N21" s="20" t="n">
        <f aca="false">IF(COUNTIFS(Sales!$B$2:$B$2000,$A17,Sales!$C$2:$C$2000,N$4,Sales!$E$2:$E$2000,"Actual")&gt;0,SUMIFS(Sales!$D$2:$D$2000,Sales!$B$2:$B$2000,$A17,Sales!$C$2:$C$2000,N$4,Sales!$E$2:$E$2000,"Actual"),SUMIFS(Sales!$D$2:$D$2000,Sales!$B$2:$B$2000,$A17,Sales!$C$2:$C$2000,N$4,Sales!$E$2:$E$2000,"Forecast"))</f>
        <v>35</v>
      </c>
      <c r="O21" s="22" t="n">
        <f aca="false">IF(COUNTIFS(Sales!$B$2:$B$2000,$A17,Sales!$C$2:$C$2000,O$4,Sales!$E$2:$E$2000,"Actual")&gt;0,SUMIFS(Sales!$D$2:$D$2000,Sales!$B$2:$B$2000,$A17,Sales!$C$2:$C$2000,O$4,Sales!$E$2:$E$2000,"Actual"),SUMIFS(Sales!$D$2:$D$2000,Sales!$B$2:$B$2000,$A17,Sales!$C$2:$C$2000,O$4,Sales!$E$2:$E$2000,"Forecast"))</f>
        <v>35</v>
      </c>
      <c r="P21" s="22" t="n">
        <f aca="false">IF(COUNTIFS(Sales!$B$2:$B$2000,$A17,Sales!$C$2:$C$2000,P$4,Sales!$E$2:$E$2000,"Actual")&gt;0,SUMIFS(Sales!$D$2:$D$2000,Sales!$B$2:$B$2000,$A17,Sales!$C$2:$C$2000,P$4,Sales!$E$2:$E$2000,"Actual"),SUMIFS(Sales!$D$2:$D$2000,Sales!$B$2:$B$2000,$A17,Sales!$C$2:$C$2000,P$4,Sales!$E$2:$E$2000,"Forecast"))</f>
        <v>40</v>
      </c>
      <c r="Q21" s="22" t="n">
        <f aca="false">IF(COUNTIFS(Sales!$B$2:$B$2000,$A17,Sales!$C$2:$C$2000,Q$4,Sales!$E$2:$E$2000,"Actual")&gt;0,SUMIFS(Sales!$D$2:$D$2000,Sales!$B$2:$B$2000,$A17,Sales!$C$2:$C$2000,Q$4,Sales!$E$2:$E$2000,"Actual"),SUMIFS(Sales!$D$2:$D$2000,Sales!$B$2:$B$2000,$A17,Sales!$C$2:$C$2000,Q$4,Sales!$E$2:$E$2000,"Forecast"))</f>
        <v>37</v>
      </c>
    </row>
    <row r="22" customFormat="false" ht="15" hidden="false" customHeight="false" outlineLevel="0" collapsed="false">
      <c r="A22" s="16" t="str">
        <f aca="false">$A$17</f>
        <v>Trend</v>
      </c>
      <c r="B22" s="5" t="s">
        <v>53</v>
      </c>
      <c r="C22" s="23" t="n">
        <f aca="false">C18+C19+C20-C21</f>
        <v>210</v>
      </c>
      <c r="D22" s="23" t="n">
        <f aca="false">D18+D19+D20-D21</f>
        <v>247</v>
      </c>
      <c r="E22" s="23" t="n">
        <f aca="false">E18+E19+E20-E21</f>
        <v>210</v>
      </c>
      <c r="F22" s="23" t="n">
        <f aca="false">F18+F19+F20-F21</f>
        <v>168</v>
      </c>
      <c r="G22" s="23" t="n">
        <f aca="false">G18+G19+G20-G21</f>
        <v>130</v>
      </c>
      <c r="H22" s="23" t="n">
        <f aca="false">H18+H19+H20-H21</f>
        <v>97</v>
      </c>
      <c r="I22" s="23" t="n">
        <f aca="false">I18+I19+I20-I21</f>
        <v>82</v>
      </c>
      <c r="J22" s="23" t="n">
        <f aca="false">J18+J19+J20-J21</f>
        <v>87</v>
      </c>
      <c r="K22" s="23" t="n">
        <f aca="false">K18+K19+K20-K21</f>
        <v>96</v>
      </c>
      <c r="L22" s="23" t="n">
        <f aca="false">L18+L19+L20-L21</f>
        <v>103</v>
      </c>
      <c r="M22" s="23" t="n">
        <f aca="false">M18+M19+M20-M21</f>
        <v>110</v>
      </c>
      <c r="N22" s="23" t="n">
        <f aca="false">N18+N19+N20-N21</f>
        <v>112</v>
      </c>
    </row>
    <row r="23" customFormat="false" ht="15" hidden="false" customHeight="false" outlineLevel="0" collapsed="false">
      <c r="A23" s="16" t="str">
        <f aca="false">$A$17</f>
        <v>Trend</v>
      </c>
      <c r="B23" s="8" t="s">
        <v>54</v>
      </c>
      <c r="C23" s="10" t="n">
        <f aca="false">AVERAGE(D21:F21)</f>
        <v>39.6666666666667</v>
      </c>
      <c r="D23" s="10" t="n">
        <f aca="false">AVERAGE(E21:G21)</f>
        <v>39</v>
      </c>
      <c r="E23" s="10" t="n">
        <f aca="false">AVERAGE(F21:H21)</f>
        <v>37.6666666666667</v>
      </c>
      <c r="F23" s="10" t="n">
        <f aca="false">AVERAGE(G21:I21)</f>
        <v>34.3333333333333</v>
      </c>
      <c r="G23" s="10" t="n">
        <f aca="false">AVERAGE(H21:J21)</f>
        <v>31</v>
      </c>
      <c r="H23" s="10" t="n">
        <f aca="false">AVERAGE(I21:K21)</f>
        <v>28.6666666666667</v>
      </c>
      <c r="I23" s="10" t="n">
        <f aca="false">AVERAGE(J21:L21)</f>
        <v>27.3333333333333</v>
      </c>
      <c r="J23" s="10" t="n">
        <f aca="false">AVERAGE(K21:M21)</f>
        <v>29</v>
      </c>
      <c r="K23" s="10" t="n">
        <f aca="false">AVERAGE(L21:N21)</f>
        <v>32</v>
      </c>
      <c r="L23" s="10" t="n">
        <f aca="false">AVERAGE(M21:O21)</f>
        <v>34.3333333333333</v>
      </c>
      <c r="M23" s="10" t="n">
        <f aca="false">AVERAGE(N21:P21)</f>
        <v>36.6666666666667</v>
      </c>
      <c r="N23" s="10" t="n">
        <f aca="false">AVERAGE(O21:Q21)</f>
        <v>37.3333333333333</v>
      </c>
    </row>
    <row r="24" customFormat="false" ht="15" hidden="false" customHeight="false" outlineLevel="0" collapsed="false">
      <c r="A24" s="16" t="str">
        <f aca="false">$A$17</f>
        <v>Trend</v>
      </c>
      <c r="B24" s="8" t="s">
        <v>55</v>
      </c>
      <c r="C24" s="10" t="n">
        <f aca="false">$D$17*C23</f>
        <v>119</v>
      </c>
      <c r="D24" s="10" t="n">
        <f aca="false">$D$17*D23</f>
        <v>117</v>
      </c>
      <c r="E24" s="10" t="n">
        <f aca="false">$D$17*E23</f>
        <v>113</v>
      </c>
      <c r="F24" s="10" t="n">
        <f aca="false">$D$17*F23</f>
        <v>103</v>
      </c>
      <c r="G24" s="10" t="n">
        <f aca="false">$D$17*G23</f>
        <v>93</v>
      </c>
      <c r="H24" s="10" t="n">
        <f aca="false">$D$17*H23</f>
        <v>86</v>
      </c>
      <c r="I24" s="10" t="n">
        <f aca="false">$D$17*I23</f>
        <v>82</v>
      </c>
      <c r="J24" s="10" t="n">
        <f aca="false">$D$17*J23</f>
        <v>87</v>
      </c>
      <c r="K24" s="10" t="n">
        <f aca="false">$D$17*K23</f>
        <v>96</v>
      </c>
      <c r="L24" s="10" t="n">
        <f aca="false">$D$17*L23</f>
        <v>103</v>
      </c>
      <c r="M24" s="10" t="n">
        <f aca="false">$D$17*M23</f>
        <v>110</v>
      </c>
      <c r="N24" s="10" t="n">
        <f aca="false">$D$17*N23</f>
        <v>112</v>
      </c>
    </row>
    <row r="25" customFormat="false" ht="15" hidden="false" customHeight="false" outlineLevel="0" collapsed="false">
      <c r="A25" s="16" t="str">
        <f aca="false">$A$17</f>
        <v>Trend</v>
      </c>
      <c r="B25" s="5" t="s">
        <v>56</v>
      </c>
      <c r="C25" s="10" t="n">
        <f aca="false">IFERROR(C22/C23,"")</f>
        <v>5.29411764705882</v>
      </c>
      <c r="D25" s="10" t="n">
        <f aca="false">IFERROR(D22/D23,"")</f>
        <v>6.33333333333333</v>
      </c>
      <c r="E25" s="10" t="n">
        <f aca="false">IFERROR(E22/E23,"")</f>
        <v>5.57522123893805</v>
      </c>
      <c r="F25" s="10" t="n">
        <f aca="false">IFERROR(F22/F23,"")</f>
        <v>4.89320388349515</v>
      </c>
      <c r="G25" s="10" t="n">
        <f aca="false">IFERROR(G22/G23,"")</f>
        <v>4.19354838709677</v>
      </c>
      <c r="H25" s="10" t="n">
        <f aca="false">IFERROR(H22/H23,"")</f>
        <v>3.38372093023256</v>
      </c>
      <c r="I25" s="10" t="n">
        <f aca="false">IFERROR(I22/I23,"")</f>
        <v>3</v>
      </c>
      <c r="J25" s="10" t="n">
        <f aca="false">IFERROR(J22/J23,"")</f>
        <v>3</v>
      </c>
      <c r="K25" s="10" t="n">
        <f aca="false">IFERROR(K22/K23,"")</f>
        <v>3</v>
      </c>
      <c r="L25" s="10" t="n">
        <f aca="false">IFERROR(L22/L23,"")</f>
        <v>3</v>
      </c>
      <c r="M25" s="10" t="n">
        <f aca="false">IFERROR(M22/M23,"")</f>
        <v>3</v>
      </c>
      <c r="N25" s="10" t="n">
        <f aca="false">IFERROR(N22/N23,"")</f>
        <v>3</v>
      </c>
    </row>
    <row r="26" customFormat="false" ht="15" hidden="false" customHeight="false" outlineLevel="0" collapsed="false">
      <c r="A26" s="16" t="str">
        <f aca="false">$A$17</f>
        <v>Trend</v>
      </c>
      <c r="B26" s="5" t="s">
        <v>57</v>
      </c>
      <c r="C26" s="23" t="n">
        <f aca="false">IF(C$3+$F$17&lt;=12,INDEX($C$20:$N$20,C$3+$F$17),"")</f>
        <v>0</v>
      </c>
      <c r="D26" s="23" t="n">
        <f aca="false">IF(D$3+$F$17&lt;=12,INDEX($C$20:$N$20,D$3+$F$17),"")</f>
        <v>0</v>
      </c>
      <c r="E26" s="23" t="n">
        <f aca="false">IF(E$3+$F$17&lt;=12,INDEX($C$20:$N$20,E$3+$F$17),"")</f>
        <v>0</v>
      </c>
      <c r="F26" s="23" t="n">
        <f aca="false">IF(F$3+$F$17&lt;=12,INDEX($C$20:$N$20,F$3+$F$17),"")</f>
        <v>17</v>
      </c>
      <c r="G26" s="23" t="n">
        <f aca="false">IF(G$3+$F$17&lt;=12,INDEX($C$20:$N$20,G$3+$F$17),"")</f>
        <v>33</v>
      </c>
      <c r="H26" s="23" t="n">
        <f aca="false">IF(H$3+$F$17&lt;=12,INDEX($C$20:$N$20,H$3+$F$17),"")</f>
        <v>35</v>
      </c>
      <c r="I26" s="23" t="n">
        <f aca="false">IF(I$3+$F$17&lt;=12,INDEX($C$20:$N$20,I$3+$F$17),"")</f>
        <v>35</v>
      </c>
      <c r="J26" s="23" t="n">
        <f aca="false">IF(J$3+$F$17&lt;=12,INDEX($C$20:$N$20,J$3+$F$17),"")</f>
        <v>40</v>
      </c>
      <c r="K26" s="23" t="n">
        <f aca="false">IF(K$3+$F$17&lt;=12,INDEX($C$20:$N$20,K$3+$F$17),"")</f>
        <v>37</v>
      </c>
      <c r="L26" s="23" t="str">
        <f aca="false">IF(L$3+$F$17&lt;=12,INDEX($C$20:$N$20,L$3+$F$17),"")</f>
        <v/>
      </c>
      <c r="M26" s="23" t="str">
        <f aca="false">IF(M$3+$F$17&lt;=12,INDEX($C$20:$N$20,M$3+$F$17),"")</f>
        <v/>
      </c>
      <c r="N26" s="23" t="str">
        <f aca="false">IF(N$3+$F$17&lt;=12,INDEX($C$20:$N$20,N$3+$F$17),"")</f>
        <v/>
      </c>
    </row>
    <row r="28" customFormat="false" ht="15" hidden="false" customHeight="false" outlineLevel="0" collapsed="false">
      <c r="A28" s="18" t="str">
        <f aca="false">INDEX(Settings!$B$2:$B$100,3)</f>
        <v>Titanium</v>
      </c>
      <c r="B28" s="18" t="str">
        <f aca="false">INDEX(Settings!$A$2:$A$100,3)&amp;" - "&amp;A28</f>
        <v>Territory - Titanium</v>
      </c>
      <c r="C28" s="18" t="s">
        <v>39</v>
      </c>
      <c r="D28" s="18" t="n">
        <f aca="false">INDEX(Settings!$C$2:$C$100,MATCH($A28,Settings!$B$2:$B$100,0))</f>
        <v>3</v>
      </c>
      <c r="E28" s="18" t="s">
        <v>48</v>
      </c>
      <c r="F28" s="18" t="n">
        <f aca="false">INDEX(Settings!$D$2:$D$100,MATCH($A28,Settings!$B$2:$B$100,0))</f>
        <v>3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</row>
    <row r="29" customFormat="false" ht="15" hidden="false" customHeight="false" outlineLevel="0" collapsed="false">
      <c r="A29" s="16" t="str">
        <f aca="false">$A$28</f>
        <v>Titanium</v>
      </c>
      <c r="B29" s="8" t="s">
        <v>49</v>
      </c>
      <c r="C29" s="20" t="n">
        <f aca="false">SUMIFS('Opening Stock'!$D$2:$D$1000,'Opening Stock'!$B$2:$B$1000,$A28)</f>
        <v>45</v>
      </c>
      <c r="D29" s="20" t="n">
        <f aca="false">C33</f>
        <v>45</v>
      </c>
      <c r="E29" s="20" t="n">
        <f aca="false">D33</f>
        <v>45</v>
      </c>
      <c r="F29" s="20" t="n">
        <f aca="false">E33</f>
        <v>45</v>
      </c>
      <c r="G29" s="20" t="n">
        <f aca="false">F33</f>
        <v>99</v>
      </c>
      <c r="H29" s="20" t="n">
        <f aca="false">G33</f>
        <v>93</v>
      </c>
      <c r="I29" s="20" t="n">
        <f aca="false">H33</f>
        <v>49</v>
      </c>
      <c r="J29" s="20" t="n">
        <f aca="false">I33</f>
        <v>47</v>
      </c>
      <c r="K29" s="20" t="n">
        <f aca="false">J33</f>
        <v>50</v>
      </c>
      <c r="L29" s="20" t="n">
        <f aca="false">K33</f>
        <v>55</v>
      </c>
      <c r="M29" s="20" t="n">
        <f aca="false">L33</f>
        <v>59</v>
      </c>
      <c r="N29" s="20" t="n">
        <f aca="false">M33</f>
        <v>63</v>
      </c>
    </row>
    <row r="30" customFormat="false" ht="15" hidden="false" customHeight="false" outlineLevel="0" collapsed="false">
      <c r="A30" s="16" t="str">
        <f aca="false">$A$28</f>
        <v>Titanium</v>
      </c>
      <c r="B30" s="8" t="s">
        <v>50</v>
      </c>
      <c r="C30" s="20" t="n">
        <f aca="false">SUMIFS(Orders!$E$2:$E$2000,Orders!$C$2:$C$2000,$A28,Orders!$H$2:$H$2000,C$4)</f>
        <v>20</v>
      </c>
      <c r="D30" s="20" t="n">
        <f aca="false">SUMIFS(Orders!$E$2:$E$2000,Orders!$C$2:$C$2000,$A28,Orders!$H$2:$H$2000,D$4)</f>
        <v>23</v>
      </c>
      <c r="E30" s="20" t="n">
        <f aca="false">SUMIFS(Orders!$E$2:$E$2000,Orders!$C$2:$C$2000,$A28,Orders!$H$2:$H$2000,E$4)</f>
        <v>21</v>
      </c>
      <c r="F30" s="20" t="n">
        <f aca="false">SUMIFS(Orders!$E$2:$E$2000,Orders!$C$2:$C$2000,$A28,Orders!$H$2:$H$2000,F$4)</f>
        <v>0</v>
      </c>
      <c r="G30" s="20" t="n">
        <f aca="false">SUMIFS(Orders!$E$2:$E$2000,Orders!$C$2:$C$2000,$A28,Orders!$H$2:$H$2000,G$4)</f>
        <v>0</v>
      </c>
      <c r="H30" s="20" t="n">
        <f aca="false">SUMIFS(Orders!$E$2:$E$2000,Orders!$C$2:$C$2000,$A28,Orders!$H$2:$H$2000,H$4)</f>
        <v>0</v>
      </c>
      <c r="I30" s="20" t="n">
        <f aca="false">SUMIFS(Orders!$E$2:$E$2000,Orders!$C$2:$C$2000,$A28,Orders!$H$2:$H$2000,I$4)</f>
        <v>0</v>
      </c>
      <c r="J30" s="20" t="n">
        <f aca="false">SUMIFS(Orders!$E$2:$E$2000,Orders!$C$2:$C$2000,$A28,Orders!$H$2:$H$2000,J$4)</f>
        <v>0</v>
      </c>
      <c r="K30" s="20" t="n">
        <f aca="false">SUMIFS(Orders!$E$2:$E$2000,Orders!$C$2:$C$2000,$A28,Orders!$H$2:$H$2000,K$4)</f>
        <v>0</v>
      </c>
      <c r="L30" s="20" t="n">
        <f aca="false">SUMIFS(Orders!$E$2:$E$2000,Orders!$C$2:$C$2000,$A28,Orders!$H$2:$H$2000,L$4)</f>
        <v>0</v>
      </c>
      <c r="M30" s="20" t="n">
        <f aca="false">SUMIFS(Orders!$E$2:$E$2000,Orders!$C$2:$C$2000,$A28,Orders!$H$2:$H$2000,M$4)</f>
        <v>0</v>
      </c>
      <c r="N30" s="20" t="n">
        <f aca="false">SUMIFS(Orders!$E$2:$E$2000,Orders!$C$2:$C$2000,$A28,Orders!$H$2:$H$2000,N$4)</f>
        <v>0</v>
      </c>
    </row>
    <row r="31" customFormat="false" ht="15" hidden="false" customHeight="false" outlineLevel="0" collapsed="false">
      <c r="A31" s="16" t="str">
        <f aca="false">$A$28</f>
        <v>Titanium</v>
      </c>
      <c r="B31" s="8" t="s">
        <v>51</v>
      </c>
      <c r="C31" s="21" t="n">
        <f aca="false">IF(C$3&lt;=$F$28,0,MAX(0,ROUNDUP(C35-(C29+C30-C32),0)))</f>
        <v>0</v>
      </c>
      <c r="D31" s="21" t="n">
        <f aca="false">IF(D$3&lt;=$F$28,0,MAX(0,ROUNDUP(D35-(D29+D30-D32),0)))</f>
        <v>0</v>
      </c>
      <c r="E31" s="21" t="n">
        <f aca="false">IF(E$3&lt;=$F$28,0,MAX(0,ROUNDUP(E35-(E29+E30-E32),0)))</f>
        <v>0</v>
      </c>
      <c r="F31" s="20" t="n">
        <f aca="false">IF(F$3&lt;=$F$28,0,MAX(0,ROUNDUP(F35-(F29+F30-F32),0)))</f>
        <v>78</v>
      </c>
      <c r="G31" s="20" t="n">
        <f aca="false">IF(G$3&lt;=$F$28,0,MAX(0,ROUNDUP(G35-(G29+G30-G32),0)))</f>
        <v>16</v>
      </c>
      <c r="H31" s="20" t="n">
        <f aca="false">IF(H$3&lt;=$F$28,0,MAX(0,ROUNDUP(H35-(H29+H30-H32),0)))</f>
        <v>15</v>
      </c>
      <c r="I31" s="20" t="n">
        <f aca="false">IF(I$3&lt;=$F$28,0,MAX(0,ROUNDUP(I35-(I29+I30-I32),0)))</f>
        <v>16</v>
      </c>
      <c r="J31" s="20" t="n">
        <f aca="false">IF(J$3&lt;=$F$28,0,MAX(0,ROUNDUP(J35-(J29+J30-J32),0)))</f>
        <v>19</v>
      </c>
      <c r="K31" s="20" t="n">
        <f aca="false">IF(K$3&lt;=$F$28,0,MAX(0,ROUNDUP(K35-(K29+K30-K32),0)))</f>
        <v>20</v>
      </c>
      <c r="L31" s="20" t="n">
        <f aca="false">IF(L$3&lt;=$F$28,0,MAX(0,ROUNDUP(L35-(L29+L30-L32),0)))</f>
        <v>20</v>
      </c>
      <c r="M31" s="20" t="n">
        <f aca="false">IF(M$3&lt;=$F$28,0,MAX(0,ROUNDUP(M35-(M29+M30-M32),0)))</f>
        <v>23</v>
      </c>
      <c r="N31" s="20" t="n">
        <f aca="false">IF(N$3&lt;=$F$28,0,MAX(0,ROUNDUP(N35-(N29+N30-N32),0)))</f>
        <v>21</v>
      </c>
    </row>
    <row r="32" customFormat="false" ht="15" hidden="false" customHeight="false" outlineLevel="0" collapsed="false">
      <c r="A32" s="16" t="str">
        <f aca="false">$A$28</f>
        <v>Titanium</v>
      </c>
      <c r="B32" s="8" t="s">
        <v>52</v>
      </c>
      <c r="C32" s="20" t="n">
        <f aca="false">IF(COUNTIFS(Sales!$B$2:$B$2000,$A28,Sales!$C$2:$C$2000,C$4,Sales!$E$2:$E$2000,"Actual")&gt;0,SUMIFS(Sales!$D$2:$D$2000,Sales!$B$2:$B$2000,$A28,Sales!$C$2:$C$2000,C$4,Sales!$E$2:$E$2000,"Actual"),SUMIFS(Sales!$D$2:$D$2000,Sales!$B$2:$B$2000,$A28,Sales!$C$2:$C$2000,C$4,Sales!$E$2:$E$2000,"Forecast"))</f>
        <v>20</v>
      </c>
      <c r="D32" s="20" t="n">
        <f aca="false">IF(COUNTIFS(Sales!$B$2:$B$2000,$A28,Sales!$C$2:$C$2000,D$4,Sales!$E$2:$E$2000,"Actual")&gt;0,SUMIFS(Sales!$D$2:$D$2000,Sales!$B$2:$B$2000,$A28,Sales!$C$2:$C$2000,D$4,Sales!$E$2:$E$2000,"Actual"),SUMIFS(Sales!$D$2:$D$2000,Sales!$B$2:$B$2000,$A28,Sales!$C$2:$C$2000,D$4,Sales!$E$2:$E$2000,"Forecast"))</f>
        <v>23</v>
      </c>
      <c r="E32" s="20" t="n">
        <f aca="false">IF(COUNTIFS(Sales!$B$2:$B$2000,$A28,Sales!$C$2:$C$2000,E$4,Sales!$E$2:$E$2000,"Actual")&gt;0,SUMIFS(Sales!$D$2:$D$2000,Sales!$B$2:$B$2000,$A28,Sales!$C$2:$C$2000,E$4,Sales!$E$2:$E$2000,"Actual"),SUMIFS(Sales!$D$2:$D$2000,Sales!$B$2:$B$2000,$A28,Sales!$C$2:$C$2000,E$4,Sales!$E$2:$E$2000,"Forecast"))</f>
        <v>21</v>
      </c>
      <c r="F32" s="20" t="n">
        <f aca="false">IF(COUNTIFS(Sales!$B$2:$B$2000,$A28,Sales!$C$2:$C$2000,F$4,Sales!$E$2:$E$2000,"Actual")&gt;0,SUMIFS(Sales!$D$2:$D$2000,Sales!$B$2:$B$2000,$A28,Sales!$C$2:$C$2000,F$4,Sales!$E$2:$E$2000,"Actual"),SUMIFS(Sales!$D$2:$D$2000,Sales!$B$2:$B$2000,$A28,Sales!$C$2:$C$2000,F$4,Sales!$E$2:$E$2000,"Forecast"))</f>
        <v>24</v>
      </c>
      <c r="G32" s="20" t="n">
        <f aca="false">IF(COUNTIFS(Sales!$B$2:$B$2000,$A28,Sales!$C$2:$C$2000,G$4,Sales!$E$2:$E$2000,"Actual")&gt;0,SUMIFS(Sales!$D$2:$D$2000,Sales!$B$2:$B$2000,$A28,Sales!$C$2:$C$2000,G$4,Sales!$E$2:$E$2000,"Actual"),SUMIFS(Sales!$D$2:$D$2000,Sales!$B$2:$B$2000,$A28,Sales!$C$2:$C$2000,G$4,Sales!$E$2:$E$2000,"Forecast"))</f>
        <v>22</v>
      </c>
      <c r="H32" s="20" t="n">
        <f aca="false">IF(COUNTIFS(Sales!$B$2:$B$2000,$A28,Sales!$C$2:$C$2000,H$4,Sales!$E$2:$E$2000,"Actual")&gt;0,SUMIFS(Sales!$D$2:$D$2000,Sales!$B$2:$B$2000,$A28,Sales!$C$2:$C$2000,H$4,Sales!$E$2:$E$2000,"Actual"),SUMIFS(Sales!$D$2:$D$2000,Sales!$B$2:$B$2000,$A28,Sales!$C$2:$C$2000,H$4,Sales!$E$2:$E$2000,"Forecast"))</f>
        <v>59</v>
      </c>
      <c r="I32" s="20" t="n">
        <f aca="false">IF(COUNTIFS(Sales!$B$2:$B$2000,$A28,Sales!$C$2:$C$2000,I$4,Sales!$E$2:$E$2000,"Actual")&gt;0,SUMIFS(Sales!$D$2:$D$2000,Sales!$B$2:$B$2000,$A28,Sales!$C$2:$C$2000,I$4,Sales!$E$2:$E$2000,"Actual"),SUMIFS(Sales!$D$2:$D$2000,Sales!$B$2:$B$2000,$A28,Sales!$C$2:$C$2000,I$4,Sales!$E$2:$E$2000,"Forecast"))</f>
        <v>18</v>
      </c>
      <c r="J32" s="20" t="n">
        <f aca="false">IF(COUNTIFS(Sales!$B$2:$B$2000,$A28,Sales!$C$2:$C$2000,J$4,Sales!$E$2:$E$2000,"Actual")&gt;0,SUMIFS(Sales!$D$2:$D$2000,Sales!$B$2:$B$2000,$A28,Sales!$C$2:$C$2000,J$4,Sales!$E$2:$E$2000,"Actual"),SUMIFS(Sales!$D$2:$D$2000,Sales!$B$2:$B$2000,$A28,Sales!$C$2:$C$2000,J$4,Sales!$E$2:$E$2000,"Forecast"))</f>
        <v>16</v>
      </c>
      <c r="K32" s="20" t="n">
        <f aca="false">IF(COUNTIFS(Sales!$B$2:$B$2000,$A28,Sales!$C$2:$C$2000,K$4,Sales!$E$2:$E$2000,"Actual")&gt;0,SUMIFS(Sales!$D$2:$D$2000,Sales!$B$2:$B$2000,$A28,Sales!$C$2:$C$2000,K$4,Sales!$E$2:$E$2000,"Actual"),SUMIFS(Sales!$D$2:$D$2000,Sales!$B$2:$B$2000,$A28,Sales!$C$2:$C$2000,K$4,Sales!$E$2:$E$2000,"Forecast"))</f>
        <v>15</v>
      </c>
      <c r="L32" s="20" t="n">
        <f aca="false">IF(COUNTIFS(Sales!$B$2:$B$2000,$A28,Sales!$C$2:$C$2000,L$4,Sales!$E$2:$E$2000,"Actual")&gt;0,SUMIFS(Sales!$D$2:$D$2000,Sales!$B$2:$B$2000,$A28,Sales!$C$2:$C$2000,L$4,Sales!$E$2:$E$2000,"Actual"),SUMIFS(Sales!$D$2:$D$2000,Sales!$B$2:$B$2000,$A28,Sales!$C$2:$C$2000,L$4,Sales!$E$2:$E$2000,"Forecast"))</f>
        <v>16</v>
      </c>
      <c r="M32" s="20" t="n">
        <f aca="false">IF(COUNTIFS(Sales!$B$2:$B$2000,$A28,Sales!$C$2:$C$2000,M$4,Sales!$E$2:$E$2000,"Actual")&gt;0,SUMIFS(Sales!$D$2:$D$2000,Sales!$B$2:$B$2000,$A28,Sales!$C$2:$C$2000,M$4,Sales!$E$2:$E$2000,"Actual"),SUMIFS(Sales!$D$2:$D$2000,Sales!$B$2:$B$2000,$A28,Sales!$C$2:$C$2000,M$4,Sales!$E$2:$E$2000,"Forecast"))</f>
        <v>19</v>
      </c>
      <c r="N32" s="20" t="n">
        <f aca="false">IF(COUNTIFS(Sales!$B$2:$B$2000,$A28,Sales!$C$2:$C$2000,N$4,Sales!$E$2:$E$2000,"Actual")&gt;0,SUMIFS(Sales!$D$2:$D$2000,Sales!$B$2:$B$2000,$A28,Sales!$C$2:$C$2000,N$4,Sales!$E$2:$E$2000,"Actual"),SUMIFS(Sales!$D$2:$D$2000,Sales!$B$2:$B$2000,$A28,Sales!$C$2:$C$2000,N$4,Sales!$E$2:$E$2000,"Forecast"))</f>
        <v>20</v>
      </c>
      <c r="O32" s="22" t="n">
        <f aca="false">IF(COUNTIFS(Sales!$B$2:$B$2000,$A28,Sales!$C$2:$C$2000,O$4,Sales!$E$2:$E$2000,"Actual")&gt;0,SUMIFS(Sales!$D$2:$D$2000,Sales!$B$2:$B$2000,$A28,Sales!$C$2:$C$2000,O$4,Sales!$E$2:$E$2000,"Actual"),SUMIFS(Sales!$D$2:$D$2000,Sales!$B$2:$B$2000,$A28,Sales!$C$2:$C$2000,O$4,Sales!$E$2:$E$2000,"Forecast"))</f>
        <v>20</v>
      </c>
      <c r="P32" s="22" t="n">
        <f aca="false">IF(COUNTIFS(Sales!$B$2:$B$2000,$A28,Sales!$C$2:$C$2000,P$4,Sales!$E$2:$E$2000,"Actual")&gt;0,SUMIFS(Sales!$D$2:$D$2000,Sales!$B$2:$B$2000,$A28,Sales!$C$2:$C$2000,P$4,Sales!$E$2:$E$2000,"Actual"),SUMIFS(Sales!$D$2:$D$2000,Sales!$B$2:$B$2000,$A28,Sales!$C$2:$C$2000,P$4,Sales!$E$2:$E$2000,"Forecast"))</f>
        <v>23</v>
      </c>
      <c r="Q32" s="22" t="n">
        <f aca="false">IF(COUNTIFS(Sales!$B$2:$B$2000,$A28,Sales!$C$2:$C$2000,Q$4,Sales!$E$2:$E$2000,"Actual")&gt;0,SUMIFS(Sales!$D$2:$D$2000,Sales!$B$2:$B$2000,$A28,Sales!$C$2:$C$2000,Q$4,Sales!$E$2:$E$2000,"Actual"),SUMIFS(Sales!$D$2:$D$2000,Sales!$B$2:$B$2000,$A28,Sales!$C$2:$C$2000,Q$4,Sales!$E$2:$E$2000,"Forecast"))</f>
        <v>21</v>
      </c>
    </row>
    <row r="33" customFormat="false" ht="15" hidden="false" customHeight="false" outlineLevel="0" collapsed="false">
      <c r="A33" s="16" t="str">
        <f aca="false">$A$28</f>
        <v>Titanium</v>
      </c>
      <c r="B33" s="5" t="s">
        <v>53</v>
      </c>
      <c r="C33" s="23" t="n">
        <f aca="false">C29+C30+C31-C32</f>
        <v>45</v>
      </c>
      <c r="D33" s="23" t="n">
        <f aca="false">D29+D30+D31-D32</f>
        <v>45</v>
      </c>
      <c r="E33" s="23" t="n">
        <f aca="false">E29+E30+E31-E32</f>
        <v>45</v>
      </c>
      <c r="F33" s="23" t="n">
        <f aca="false">F29+F30+F31-F32</f>
        <v>99</v>
      </c>
      <c r="G33" s="23" t="n">
        <f aca="false">G29+G30+G31-G32</f>
        <v>93</v>
      </c>
      <c r="H33" s="23" t="n">
        <f aca="false">H29+H30+H31-H32</f>
        <v>49</v>
      </c>
      <c r="I33" s="23" t="n">
        <f aca="false">I29+I30+I31-I32</f>
        <v>47</v>
      </c>
      <c r="J33" s="23" t="n">
        <f aca="false">J29+J30+J31-J32</f>
        <v>50</v>
      </c>
      <c r="K33" s="23" t="n">
        <f aca="false">K29+K30+K31-K32</f>
        <v>55</v>
      </c>
      <c r="L33" s="23" t="n">
        <f aca="false">L29+L30+L31-L32</f>
        <v>59</v>
      </c>
      <c r="M33" s="23" t="n">
        <f aca="false">M29+M30+M31-M32</f>
        <v>63</v>
      </c>
      <c r="N33" s="23" t="n">
        <f aca="false">N29+N30+N31-N32</f>
        <v>64</v>
      </c>
    </row>
    <row r="34" customFormat="false" ht="15" hidden="false" customHeight="false" outlineLevel="0" collapsed="false">
      <c r="A34" s="16" t="str">
        <f aca="false">$A$28</f>
        <v>Titanium</v>
      </c>
      <c r="B34" s="8" t="s">
        <v>54</v>
      </c>
      <c r="C34" s="10" t="n">
        <f aca="false">AVERAGE(D32:F32)</f>
        <v>22.6666666666667</v>
      </c>
      <c r="D34" s="10" t="n">
        <f aca="false">AVERAGE(E32:G32)</f>
        <v>22.3333333333333</v>
      </c>
      <c r="E34" s="10" t="n">
        <f aca="false">AVERAGE(F32:H32)</f>
        <v>35</v>
      </c>
      <c r="F34" s="10" t="n">
        <f aca="false">AVERAGE(G32:I32)</f>
        <v>33</v>
      </c>
      <c r="G34" s="10" t="n">
        <f aca="false">AVERAGE(H32:J32)</f>
        <v>31</v>
      </c>
      <c r="H34" s="10" t="n">
        <f aca="false">AVERAGE(I32:K32)</f>
        <v>16.3333333333333</v>
      </c>
      <c r="I34" s="10" t="n">
        <f aca="false">AVERAGE(J32:L32)</f>
        <v>15.6666666666667</v>
      </c>
      <c r="J34" s="10" t="n">
        <f aca="false">AVERAGE(K32:M32)</f>
        <v>16.6666666666667</v>
      </c>
      <c r="K34" s="10" t="n">
        <f aca="false">AVERAGE(L32:N32)</f>
        <v>18.3333333333333</v>
      </c>
      <c r="L34" s="10" t="n">
        <f aca="false">AVERAGE(M32:O32)</f>
        <v>19.6666666666667</v>
      </c>
      <c r="M34" s="10" t="n">
        <f aca="false">AVERAGE(N32:P32)</f>
        <v>21</v>
      </c>
      <c r="N34" s="10" t="n">
        <f aca="false">AVERAGE(O32:Q32)</f>
        <v>21.3333333333333</v>
      </c>
    </row>
    <row r="35" customFormat="false" ht="15" hidden="false" customHeight="false" outlineLevel="0" collapsed="false">
      <c r="A35" s="16" t="str">
        <f aca="false">$A$28</f>
        <v>Titanium</v>
      </c>
      <c r="B35" s="8" t="s">
        <v>55</v>
      </c>
      <c r="C35" s="10" t="n">
        <f aca="false">$D$28*C34</f>
        <v>68</v>
      </c>
      <c r="D35" s="10" t="n">
        <f aca="false">$D$28*D34</f>
        <v>67</v>
      </c>
      <c r="E35" s="10" t="n">
        <f aca="false">$D$28*E34</f>
        <v>105</v>
      </c>
      <c r="F35" s="10" t="n">
        <f aca="false">$D$28*F34</f>
        <v>99</v>
      </c>
      <c r="G35" s="10" t="n">
        <f aca="false">$D$28*G34</f>
        <v>93</v>
      </c>
      <c r="H35" s="10" t="n">
        <f aca="false">$D$28*H34</f>
        <v>49</v>
      </c>
      <c r="I35" s="10" t="n">
        <f aca="false">$D$28*I34</f>
        <v>47</v>
      </c>
      <c r="J35" s="10" t="n">
        <f aca="false">$D$28*J34</f>
        <v>50</v>
      </c>
      <c r="K35" s="10" t="n">
        <f aca="false">$D$28*K34</f>
        <v>55</v>
      </c>
      <c r="L35" s="10" t="n">
        <f aca="false">$D$28*L34</f>
        <v>59</v>
      </c>
      <c r="M35" s="10" t="n">
        <f aca="false">$D$28*M34</f>
        <v>63</v>
      </c>
      <c r="N35" s="10" t="n">
        <f aca="false">$D$28*N34</f>
        <v>64</v>
      </c>
    </row>
    <row r="36" customFormat="false" ht="15" hidden="false" customHeight="false" outlineLevel="0" collapsed="false">
      <c r="A36" s="16" t="str">
        <f aca="false">$A$28</f>
        <v>Titanium</v>
      </c>
      <c r="B36" s="5" t="s">
        <v>56</v>
      </c>
      <c r="C36" s="10" t="n">
        <f aca="false">IFERROR(C33/C34,"")</f>
        <v>1.98529411764706</v>
      </c>
      <c r="D36" s="10" t="n">
        <f aca="false">IFERROR(D33/D34,"")</f>
        <v>2.01492537313433</v>
      </c>
      <c r="E36" s="10" t="n">
        <f aca="false">IFERROR(E33/E34,"")</f>
        <v>1.28571428571429</v>
      </c>
      <c r="F36" s="10" t="n">
        <f aca="false">IFERROR(F33/F34,"")</f>
        <v>3</v>
      </c>
      <c r="G36" s="10" t="n">
        <f aca="false">IFERROR(G33/G34,"")</f>
        <v>3</v>
      </c>
      <c r="H36" s="10" t="n">
        <f aca="false">IFERROR(H33/H34,"")</f>
        <v>3</v>
      </c>
      <c r="I36" s="10" t="n">
        <f aca="false">IFERROR(I33/I34,"")</f>
        <v>3</v>
      </c>
      <c r="J36" s="10" t="n">
        <f aca="false">IFERROR(J33/J34,"")</f>
        <v>3</v>
      </c>
      <c r="K36" s="10" t="n">
        <f aca="false">IFERROR(K33/K34,"")</f>
        <v>3</v>
      </c>
      <c r="L36" s="10" t="n">
        <f aca="false">IFERROR(L33/L34,"")</f>
        <v>3</v>
      </c>
      <c r="M36" s="10" t="n">
        <f aca="false">IFERROR(M33/M34,"")</f>
        <v>3</v>
      </c>
      <c r="N36" s="10" t="n">
        <f aca="false">IFERROR(N33/N34,"")</f>
        <v>3</v>
      </c>
    </row>
    <row r="37" customFormat="false" ht="15" hidden="false" customHeight="false" outlineLevel="0" collapsed="false">
      <c r="A37" s="16" t="str">
        <f aca="false">$A$28</f>
        <v>Titanium</v>
      </c>
      <c r="B37" s="5" t="s">
        <v>57</v>
      </c>
      <c r="C37" s="23" t="n">
        <f aca="false">IF(C$3+$F$28&lt;=12,INDEX($C$31:$N$31,C$3+$F$28),"")</f>
        <v>78</v>
      </c>
      <c r="D37" s="23" t="n">
        <f aca="false">IF(D$3+$F$28&lt;=12,INDEX($C$31:$N$31,D$3+$F$28),"")</f>
        <v>16</v>
      </c>
      <c r="E37" s="23" t="n">
        <f aca="false">IF(E$3+$F$28&lt;=12,INDEX($C$31:$N$31,E$3+$F$28),"")</f>
        <v>15</v>
      </c>
      <c r="F37" s="23" t="n">
        <f aca="false">IF(F$3+$F$28&lt;=12,INDEX($C$31:$N$31,F$3+$F$28),"")</f>
        <v>16</v>
      </c>
      <c r="G37" s="23" t="n">
        <f aca="false">IF(G$3+$F$28&lt;=12,INDEX($C$31:$N$31,G$3+$F$28),"")</f>
        <v>19</v>
      </c>
      <c r="H37" s="23" t="n">
        <f aca="false">IF(H$3+$F$28&lt;=12,INDEX($C$31:$N$31,H$3+$F$28),"")</f>
        <v>20</v>
      </c>
      <c r="I37" s="23" t="n">
        <f aca="false">IF(I$3+$F$28&lt;=12,INDEX($C$31:$N$31,I$3+$F$28),"")</f>
        <v>20</v>
      </c>
      <c r="J37" s="23" t="n">
        <f aca="false">IF(J$3+$F$28&lt;=12,INDEX($C$31:$N$31,J$3+$F$28),"")</f>
        <v>23</v>
      </c>
      <c r="K37" s="23" t="n">
        <f aca="false">IF(K$3+$F$28&lt;=12,INDEX($C$31:$N$31,K$3+$F$28),"")</f>
        <v>21</v>
      </c>
      <c r="L37" s="23" t="str">
        <f aca="false">IF(L$3+$F$28&lt;=12,INDEX($C$31:$N$31,L$3+$F$28),"")</f>
        <v/>
      </c>
      <c r="M37" s="23" t="str">
        <f aca="false">IF(M$3+$F$28&lt;=12,INDEX($C$31:$N$31,M$3+$F$28),"")</f>
        <v/>
      </c>
      <c r="N37" s="23" t="str">
        <f aca="false">IF(N$3+$F$28&lt;=12,INDEX($C$31:$N$31,N$3+$F$28),"")</f>
        <v/>
      </c>
    </row>
    <row r="39" customFormat="false" ht="15" hidden="false" customHeight="false" outlineLevel="0" collapsed="false">
      <c r="A39" s="18" t="str">
        <f aca="false">INDEX(Settings!$B$2:$B$100,4)</f>
        <v>Big Bend 2-door</v>
      </c>
      <c r="B39" s="18" t="str">
        <f aca="false">INDEX(Settings!$A$2:$A$100,4)&amp;" - "&amp;A39</f>
        <v>Bronco - Big Bend 2-door</v>
      </c>
      <c r="C39" s="18" t="s">
        <v>39</v>
      </c>
      <c r="D39" s="18" t="n">
        <f aca="false">INDEX(Settings!$C$2:$C$100,MATCH($A39,Settings!$B$2:$B$100,0))</f>
        <v>2</v>
      </c>
      <c r="E39" s="18" t="s">
        <v>48</v>
      </c>
      <c r="F39" s="18" t="n">
        <f aca="false">INDEX(Settings!$D$2:$D$100,MATCH($A39,Settings!$B$2:$B$100,0))</f>
        <v>3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</row>
    <row r="40" customFormat="false" ht="15" hidden="false" customHeight="false" outlineLevel="0" collapsed="false">
      <c r="A40" s="16" t="str">
        <f aca="false">$A$39</f>
        <v>Big Bend 2-door</v>
      </c>
      <c r="B40" s="8" t="s">
        <v>49</v>
      </c>
      <c r="C40" s="20" t="n">
        <f aca="false">SUMIFS('Opening Stock'!$D$2:$D$1000,'Opening Stock'!$B$2:$B$1000,$A39)</f>
        <v>14</v>
      </c>
      <c r="D40" s="20" t="n">
        <f aca="false">C44</f>
        <v>14</v>
      </c>
      <c r="E40" s="20" t="n">
        <f aca="false">D44</f>
        <v>14</v>
      </c>
      <c r="F40" s="20" t="n">
        <f aca="false">E44</f>
        <v>14</v>
      </c>
      <c r="G40" s="20" t="n">
        <f aca="false">F44</f>
        <v>12</v>
      </c>
      <c r="H40" s="20" t="n">
        <f aca="false">G44</f>
        <v>11</v>
      </c>
      <c r="I40" s="20" t="n">
        <f aca="false">H44</f>
        <v>10</v>
      </c>
      <c r="J40" s="20" t="n">
        <f aca="false">I44</f>
        <v>10</v>
      </c>
      <c r="K40" s="20" t="n">
        <f aca="false">J44</f>
        <v>10</v>
      </c>
      <c r="L40" s="20" t="n">
        <f aca="false">K44</f>
        <v>12</v>
      </c>
      <c r="M40" s="20" t="n">
        <f aca="false">L44</f>
        <v>12</v>
      </c>
      <c r="N40" s="20" t="n">
        <f aca="false">M44</f>
        <v>13</v>
      </c>
    </row>
    <row r="41" customFormat="false" ht="15" hidden="false" customHeight="false" outlineLevel="0" collapsed="false">
      <c r="A41" s="16" t="str">
        <f aca="false">$A$39</f>
        <v>Big Bend 2-door</v>
      </c>
      <c r="B41" s="8" t="s">
        <v>50</v>
      </c>
      <c r="C41" s="20" t="n">
        <f aca="false">SUMIFS(Orders!$E$2:$E$2000,Orders!$C$2:$C$2000,$A39,Orders!$H$2:$H$2000,C$4)</f>
        <v>6</v>
      </c>
      <c r="D41" s="20" t="n">
        <f aca="false">SUMIFS(Orders!$E$2:$E$2000,Orders!$C$2:$C$2000,$A39,Orders!$H$2:$H$2000,D$4)</f>
        <v>7</v>
      </c>
      <c r="E41" s="20" t="n">
        <f aca="false">SUMIFS(Orders!$E$2:$E$2000,Orders!$C$2:$C$2000,$A39,Orders!$H$2:$H$2000,E$4)</f>
        <v>6</v>
      </c>
      <c r="F41" s="20" t="n">
        <f aca="false">SUMIFS(Orders!$E$2:$E$2000,Orders!$C$2:$C$2000,$A39,Orders!$H$2:$H$2000,F$4)</f>
        <v>0</v>
      </c>
      <c r="G41" s="20" t="n">
        <f aca="false">SUMIFS(Orders!$E$2:$E$2000,Orders!$C$2:$C$2000,$A39,Orders!$H$2:$H$2000,G$4)</f>
        <v>0</v>
      </c>
      <c r="H41" s="20" t="n">
        <f aca="false">SUMIFS(Orders!$E$2:$E$2000,Orders!$C$2:$C$2000,$A39,Orders!$H$2:$H$2000,H$4)</f>
        <v>0</v>
      </c>
      <c r="I41" s="20" t="n">
        <f aca="false">SUMIFS(Orders!$E$2:$E$2000,Orders!$C$2:$C$2000,$A39,Orders!$H$2:$H$2000,I$4)</f>
        <v>0</v>
      </c>
      <c r="J41" s="20" t="n">
        <f aca="false">SUMIFS(Orders!$E$2:$E$2000,Orders!$C$2:$C$2000,$A39,Orders!$H$2:$H$2000,J$4)</f>
        <v>0</v>
      </c>
      <c r="K41" s="20" t="n">
        <f aca="false">SUMIFS(Orders!$E$2:$E$2000,Orders!$C$2:$C$2000,$A39,Orders!$H$2:$H$2000,K$4)</f>
        <v>0</v>
      </c>
      <c r="L41" s="20" t="n">
        <f aca="false">SUMIFS(Orders!$E$2:$E$2000,Orders!$C$2:$C$2000,$A39,Orders!$H$2:$H$2000,L$4)</f>
        <v>0</v>
      </c>
      <c r="M41" s="20" t="n">
        <f aca="false">SUMIFS(Orders!$E$2:$E$2000,Orders!$C$2:$C$2000,$A39,Orders!$H$2:$H$2000,M$4)</f>
        <v>0</v>
      </c>
      <c r="N41" s="20" t="n">
        <f aca="false">SUMIFS(Orders!$E$2:$E$2000,Orders!$C$2:$C$2000,$A39,Orders!$H$2:$H$2000,N$4)</f>
        <v>0</v>
      </c>
    </row>
    <row r="42" customFormat="false" ht="15" hidden="false" customHeight="false" outlineLevel="0" collapsed="false">
      <c r="A42" s="16" t="str">
        <f aca="false">$A$39</f>
        <v>Big Bend 2-door</v>
      </c>
      <c r="B42" s="8" t="s">
        <v>51</v>
      </c>
      <c r="C42" s="21" t="n">
        <f aca="false">IF(C$3&lt;=$F$39,0,MAX(0,ROUNDUP(C46-(C40+C41-C43),0)))</f>
        <v>0</v>
      </c>
      <c r="D42" s="21" t="n">
        <f aca="false">IF(D$3&lt;=$F$39,0,MAX(0,ROUNDUP(D46-(D40+D41-D43),0)))</f>
        <v>0</v>
      </c>
      <c r="E42" s="21" t="n">
        <f aca="false">IF(E$3&lt;=$F$39,0,MAX(0,ROUNDUP(E46-(E40+E41-E43),0)))</f>
        <v>0</v>
      </c>
      <c r="F42" s="20" t="n">
        <f aca="false">IF(F$3&lt;=$F$39,0,MAX(0,ROUNDUP(F46-(F40+F41-F43),0)))</f>
        <v>5</v>
      </c>
      <c r="G42" s="20" t="n">
        <f aca="false">IF(G$3&lt;=$F$39,0,MAX(0,ROUNDUP(G46-(G40+G41-G43),0)))</f>
        <v>6</v>
      </c>
      <c r="H42" s="20" t="n">
        <f aca="false">IF(H$3&lt;=$F$39,0,MAX(0,ROUNDUP(H46-(H40+H41-H43),0)))</f>
        <v>5</v>
      </c>
      <c r="I42" s="20" t="n">
        <f aca="false">IF(I$3&lt;=$F$39,0,MAX(0,ROUNDUP(I46-(I40+I41-I43),0)))</f>
        <v>5</v>
      </c>
      <c r="J42" s="20" t="n">
        <f aca="false">IF(J$3&lt;=$F$39,0,MAX(0,ROUNDUP(J46-(J40+J41-J43),0)))</f>
        <v>5</v>
      </c>
      <c r="K42" s="20" t="n">
        <f aca="false">IF(K$3&lt;=$F$39,0,MAX(0,ROUNDUP(K46-(K40+K41-K43),0)))</f>
        <v>6</v>
      </c>
      <c r="L42" s="20" t="n">
        <f aca="false">IF(L$3&lt;=$F$39,0,MAX(0,ROUNDUP(L46-(L40+L41-L43),0)))</f>
        <v>5</v>
      </c>
      <c r="M42" s="20" t="n">
        <f aca="false">IF(M$3&lt;=$F$39,0,MAX(0,ROUNDUP(M46-(M40+M41-M43),0)))</f>
        <v>7</v>
      </c>
      <c r="N42" s="20" t="n">
        <f aca="false">IF(N$3&lt;=$F$39,0,MAX(0,ROUNDUP(N46-(N40+N41-N43),0)))</f>
        <v>6</v>
      </c>
    </row>
    <row r="43" customFormat="false" ht="15" hidden="false" customHeight="false" outlineLevel="0" collapsed="false">
      <c r="A43" s="16" t="str">
        <f aca="false">$A$39</f>
        <v>Big Bend 2-door</v>
      </c>
      <c r="B43" s="8" t="s">
        <v>52</v>
      </c>
      <c r="C43" s="20" t="n">
        <f aca="false">IF(COUNTIFS(Sales!$B$2:$B$2000,$A39,Sales!$C$2:$C$2000,C$4,Sales!$E$2:$E$2000,"Actual")&gt;0,SUMIFS(Sales!$D$2:$D$2000,Sales!$B$2:$B$2000,$A39,Sales!$C$2:$C$2000,C$4,Sales!$E$2:$E$2000,"Actual"),SUMIFS(Sales!$D$2:$D$2000,Sales!$B$2:$B$2000,$A39,Sales!$C$2:$C$2000,C$4,Sales!$E$2:$E$2000,"Forecast"))</f>
        <v>6</v>
      </c>
      <c r="D43" s="20" t="n">
        <f aca="false">IF(COUNTIFS(Sales!$B$2:$B$2000,$A39,Sales!$C$2:$C$2000,D$4,Sales!$E$2:$E$2000,"Actual")&gt;0,SUMIFS(Sales!$D$2:$D$2000,Sales!$B$2:$B$2000,$A39,Sales!$C$2:$C$2000,D$4,Sales!$E$2:$E$2000,"Actual"),SUMIFS(Sales!$D$2:$D$2000,Sales!$B$2:$B$2000,$A39,Sales!$C$2:$C$2000,D$4,Sales!$E$2:$E$2000,"Forecast"))</f>
        <v>7</v>
      </c>
      <c r="E43" s="20" t="n">
        <f aca="false">IF(COUNTIFS(Sales!$B$2:$B$2000,$A39,Sales!$C$2:$C$2000,E$4,Sales!$E$2:$E$2000,"Actual")&gt;0,SUMIFS(Sales!$D$2:$D$2000,Sales!$B$2:$B$2000,$A39,Sales!$C$2:$C$2000,E$4,Sales!$E$2:$E$2000,"Actual"),SUMIFS(Sales!$D$2:$D$2000,Sales!$B$2:$B$2000,$A39,Sales!$C$2:$C$2000,E$4,Sales!$E$2:$E$2000,"Forecast"))</f>
        <v>6</v>
      </c>
      <c r="F43" s="20" t="n">
        <f aca="false">IF(COUNTIFS(Sales!$B$2:$B$2000,$A39,Sales!$C$2:$C$2000,F$4,Sales!$E$2:$E$2000,"Actual")&gt;0,SUMIFS(Sales!$D$2:$D$2000,Sales!$B$2:$B$2000,$A39,Sales!$C$2:$C$2000,F$4,Sales!$E$2:$E$2000,"Actual"),SUMIFS(Sales!$D$2:$D$2000,Sales!$B$2:$B$2000,$A39,Sales!$C$2:$C$2000,F$4,Sales!$E$2:$E$2000,"Forecast"))</f>
        <v>7</v>
      </c>
      <c r="G43" s="20" t="n">
        <f aca="false">IF(COUNTIFS(Sales!$B$2:$B$2000,$A39,Sales!$C$2:$C$2000,G$4,Sales!$E$2:$E$2000,"Actual")&gt;0,SUMIFS(Sales!$D$2:$D$2000,Sales!$B$2:$B$2000,$A39,Sales!$C$2:$C$2000,G$4,Sales!$E$2:$E$2000,"Actual"),SUMIFS(Sales!$D$2:$D$2000,Sales!$B$2:$B$2000,$A39,Sales!$C$2:$C$2000,G$4,Sales!$E$2:$E$2000,"Forecast"))</f>
        <v>7</v>
      </c>
      <c r="H43" s="20" t="n">
        <f aca="false">IF(COUNTIFS(Sales!$B$2:$B$2000,$A39,Sales!$C$2:$C$2000,H$4,Sales!$E$2:$E$2000,"Actual")&gt;0,SUMIFS(Sales!$D$2:$D$2000,Sales!$B$2:$B$2000,$A39,Sales!$C$2:$C$2000,H$4,Sales!$E$2:$E$2000,"Actual"),SUMIFS(Sales!$D$2:$D$2000,Sales!$B$2:$B$2000,$A39,Sales!$C$2:$C$2000,H$4,Sales!$E$2:$E$2000,"Forecast"))</f>
        <v>6</v>
      </c>
      <c r="I43" s="20" t="n">
        <f aca="false">IF(COUNTIFS(Sales!$B$2:$B$2000,$A39,Sales!$C$2:$C$2000,I$4,Sales!$E$2:$E$2000,"Actual")&gt;0,SUMIFS(Sales!$D$2:$D$2000,Sales!$B$2:$B$2000,$A39,Sales!$C$2:$C$2000,I$4,Sales!$E$2:$E$2000,"Actual"),SUMIFS(Sales!$D$2:$D$2000,Sales!$B$2:$B$2000,$A39,Sales!$C$2:$C$2000,I$4,Sales!$E$2:$E$2000,"Forecast"))</f>
        <v>5</v>
      </c>
      <c r="J43" s="20" t="n">
        <f aca="false">IF(COUNTIFS(Sales!$B$2:$B$2000,$A39,Sales!$C$2:$C$2000,J$4,Sales!$E$2:$E$2000,"Actual")&gt;0,SUMIFS(Sales!$D$2:$D$2000,Sales!$B$2:$B$2000,$A39,Sales!$C$2:$C$2000,J$4,Sales!$E$2:$E$2000,"Actual"),SUMIFS(Sales!$D$2:$D$2000,Sales!$B$2:$B$2000,$A39,Sales!$C$2:$C$2000,J$4,Sales!$E$2:$E$2000,"Forecast"))</f>
        <v>5</v>
      </c>
      <c r="K43" s="20" t="n">
        <f aca="false">IF(COUNTIFS(Sales!$B$2:$B$2000,$A39,Sales!$C$2:$C$2000,K$4,Sales!$E$2:$E$2000,"Actual")&gt;0,SUMIFS(Sales!$D$2:$D$2000,Sales!$B$2:$B$2000,$A39,Sales!$C$2:$C$2000,K$4,Sales!$E$2:$E$2000,"Actual"),SUMIFS(Sales!$D$2:$D$2000,Sales!$B$2:$B$2000,$A39,Sales!$C$2:$C$2000,K$4,Sales!$E$2:$E$2000,"Forecast"))</f>
        <v>4</v>
      </c>
      <c r="L43" s="20" t="n">
        <f aca="false">IF(COUNTIFS(Sales!$B$2:$B$2000,$A39,Sales!$C$2:$C$2000,L$4,Sales!$E$2:$E$2000,"Actual")&gt;0,SUMIFS(Sales!$D$2:$D$2000,Sales!$B$2:$B$2000,$A39,Sales!$C$2:$C$2000,L$4,Sales!$E$2:$E$2000,"Actual"),SUMIFS(Sales!$D$2:$D$2000,Sales!$B$2:$B$2000,$A39,Sales!$C$2:$C$2000,L$4,Sales!$E$2:$E$2000,"Forecast"))</f>
        <v>5</v>
      </c>
      <c r="M43" s="20" t="n">
        <f aca="false">IF(COUNTIFS(Sales!$B$2:$B$2000,$A39,Sales!$C$2:$C$2000,M$4,Sales!$E$2:$E$2000,"Actual")&gt;0,SUMIFS(Sales!$D$2:$D$2000,Sales!$B$2:$B$2000,$A39,Sales!$C$2:$C$2000,M$4,Sales!$E$2:$E$2000,"Actual"),SUMIFS(Sales!$D$2:$D$2000,Sales!$B$2:$B$2000,$A39,Sales!$C$2:$C$2000,M$4,Sales!$E$2:$E$2000,"Forecast"))</f>
        <v>6</v>
      </c>
      <c r="N43" s="20" t="n">
        <f aca="false">IF(COUNTIFS(Sales!$B$2:$B$2000,$A39,Sales!$C$2:$C$2000,N$4,Sales!$E$2:$E$2000,"Actual")&gt;0,SUMIFS(Sales!$D$2:$D$2000,Sales!$B$2:$B$2000,$A39,Sales!$C$2:$C$2000,N$4,Sales!$E$2:$E$2000,"Actual"),SUMIFS(Sales!$D$2:$D$2000,Sales!$B$2:$B$2000,$A39,Sales!$C$2:$C$2000,N$4,Sales!$E$2:$E$2000,"Forecast"))</f>
        <v>6</v>
      </c>
      <c r="O43" s="22" t="n">
        <f aca="false">IF(COUNTIFS(Sales!$B$2:$B$2000,$A39,Sales!$C$2:$C$2000,O$4,Sales!$E$2:$E$2000,"Actual")&gt;0,SUMIFS(Sales!$D$2:$D$2000,Sales!$B$2:$B$2000,$A39,Sales!$C$2:$C$2000,O$4,Sales!$E$2:$E$2000,"Actual"),SUMIFS(Sales!$D$2:$D$2000,Sales!$B$2:$B$2000,$A39,Sales!$C$2:$C$2000,O$4,Sales!$E$2:$E$2000,"Forecast"))</f>
        <v>6</v>
      </c>
      <c r="P43" s="22" t="n">
        <f aca="false">IF(COUNTIFS(Sales!$B$2:$B$2000,$A39,Sales!$C$2:$C$2000,P$4,Sales!$E$2:$E$2000,"Actual")&gt;0,SUMIFS(Sales!$D$2:$D$2000,Sales!$B$2:$B$2000,$A39,Sales!$C$2:$C$2000,P$4,Sales!$E$2:$E$2000,"Actual"),SUMIFS(Sales!$D$2:$D$2000,Sales!$B$2:$B$2000,$A39,Sales!$C$2:$C$2000,P$4,Sales!$E$2:$E$2000,"Forecast"))</f>
        <v>7</v>
      </c>
      <c r="Q43" s="22" t="n">
        <f aca="false">IF(COUNTIFS(Sales!$B$2:$B$2000,$A39,Sales!$C$2:$C$2000,Q$4,Sales!$E$2:$E$2000,"Actual")&gt;0,SUMIFS(Sales!$D$2:$D$2000,Sales!$B$2:$B$2000,$A39,Sales!$C$2:$C$2000,Q$4,Sales!$E$2:$E$2000,"Actual"),SUMIFS(Sales!$D$2:$D$2000,Sales!$B$2:$B$2000,$A39,Sales!$C$2:$C$2000,Q$4,Sales!$E$2:$E$2000,"Forecast"))</f>
        <v>6</v>
      </c>
    </row>
    <row r="44" customFormat="false" ht="15" hidden="false" customHeight="false" outlineLevel="0" collapsed="false">
      <c r="A44" s="16" t="str">
        <f aca="false">$A$39</f>
        <v>Big Bend 2-door</v>
      </c>
      <c r="B44" s="5" t="s">
        <v>53</v>
      </c>
      <c r="C44" s="23" t="n">
        <f aca="false">C40+C41+C42-C43</f>
        <v>14</v>
      </c>
      <c r="D44" s="23" t="n">
        <f aca="false">D40+D41+D42-D43</f>
        <v>14</v>
      </c>
      <c r="E44" s="23" t="n">
        <f aca="false">E40+E41+E42-E43</f>
        <v>14</v>
      </c>
      <c r="F44" s="23" t="n">
        <f aca="false">F40+F41+F42-F43</f>
        <v>12</v>
      </c>
      <c r="G44" s="23" t="n">
        <f aca="false">G40+G41+G42-G43</f>
        <v>11</v>
      </c>
      <c r="H44" s="23" t="n">
        <f aca="false">H40+H41+H42-H43</f>
        <v>10</v>
      </c>
      <c r="I44" s="23" t="n">
        <f aca="false">I40+I41+I42-I43</f>
        <v>10</v>
      </c>
      <c r="J44" s="23" t="n">
        <f aca="false">J40+J41+J42-J43</f>
        <v>10</v>
      </c>
      <c r="K44" s="23" t="n">
        <f aca="false">K40+K41+K42-K43</f>
        <v>12</v>
      </c>
      <c r="L44" s="23" t="n">
        <f aca="false">L40+L41+L42-L43</f>
        <v>12</v>
      </c>
      <c r="M44" s="23" t="n">
        <f aca="false">M40+M41+M42-M43</f>
        <v>13</v>
      </c>
      <c r="N44" s="23" t="n">
        <f aca="false">N40+N41+N42-N43</f>
        <v>13</v>
      </c>
    </row>
    <row r="45" customFormat="false" ht="15" hidden="false" customHeight="false" outlineLevel="0" collapsed="false">
      <c r="A45" s="16" t="str">
        <f aca="false">$A$39</f>
        <v>Big Bend 2-door</v>
      </c>
      <c r="B45" s="8" t="s">
        <v>54</v>
      </c>
      <c r="C45" s="10" t="n">
        <f aca="false">AVERAGE(D43:F43)</f>
        <v>6.66666666666667</v>
      </c>
      <c r="D45" s="10" t="n">
        <f aca="false">AVERAGE(E43:G43)</f>
        <v>6.66666666666667</v>
      </c>
      <c r="E45" s="10" t="n">
        <f aca="false">AVERAGE(F43:H43)</f>
        <v>6.66666666666667</v>
      </c>
      <c r="F45" s="10" t="n">
        <f aca="false">AVERAGE(G43:I43)</f>
        <v>6</v>
      </c>
      <c r="G45" s="10" t="n">
        <f aca="false">AVERAGE(H43:J43)</f>
        <v>5.33333333333333</v>
      </c>
      <c r="H45" s="10" t="n">
        <f aca="false">AVERAGE(I43:K43)</f>
        <v>4.66666666666667</v>
      </c>
      <c r="I45" s="10" t="n">
        <f aca="false">AVERAGE(J43:L43)</f>
        <v>4.66666666666667</v>
      </c>
      <c r="J45" s="10" t="n">
        <f aca="false">AVERAGE(K43:M43)</f>
        <v>5</v>
      </c>
      <c r="K45" s="10" t="n">
        <f aca="false">AVERAGE(L43:N43)</f>
        <v>5.66666666666667</v>
      </c>
      <c r="L45" s="10" t="n">
        <f aca="false">AVERAGE(M43:O43)</f>
        <v>6</v>
      </c>
      <c r="M45" s="10" t="n">
        <f aca="false">AVERAGE(N43:P43)</f>
        <v>6.33333333333333</v>
      </c>
      <c r="N45" s="10" t="n">
        <f aca="false">AVERAGE(O43:Q43)</f>
        <v>6.33333333333333</v>
      </c>
    </row>
    <row r="46" customFormat="false" ht="15" hidden="false" customHeight="false" outlineLevel="0" collapsed="false">
      <c r="A46" s="16" t="str">
        <f aca="false">$A$39</f>
        <v>Big Bend 2-door</v>
      </c>
      <c r="B46" s="8" t="s">
        <v>55</v>
      </c>
      <c r="C46" s="10" t="n">
        <f aca="false">$D$39*C45</f>
        <v>13.3333333333333</v>
      </c>
      <c r="D46" s="10" t="n">
        <f aca="false">$D$39*D45</f>
        <v>13.3333333333333</v>
      </c>
      <c r="E46" s="10" t="n">
        <f aca="false">$D$39*E45</f>
        <v>13.3333333333333</v>
      </c>
      <c r="F46" s="10" t="n">
        <f aca="false">$D$39*F45</f>
        <v>12</v>
      </c>
      <c r="G46" s="10" t="n">
        <f aca="false">$D$39*G45</f>
        <v>10.6666666666667</v>
      </c>
      <c r="H46" s="10" t="n">
        <f aca="false">$D$39*H45</f>
        <v>9.33333333333333</v>
      </c>
      <c r="I46" s="10" t="n">
        <f aca="false">$D$39*I45</f>
        <v>9.33333333333333</v>
      </c>
      <c r="J46" s="10" t="n">
        <f aca="false">$D$39*J45</f>
        <v>10</v>
      </c>
      <c r="K46" s="10" t="n">
        <f aca="false">$D$39*K45</f>
        <v>11.3333333333333</v>
      </c>
      <c r="L46" s="10" t="n">
        <f aca="false">$D$39*L45</f>
        <v>12</v>
      </c>
      <c r="M46" s="10" t="n">
        <f aca="false">$D$39*M45</f>
        <v>12.6666666666667</v>
      </c>
      <c r="N46" s="10" t="n">
        <f aca="false">$D$39*N45</f>
        <v>12.6666666666667</v>
      </c>
    </row>
    <row r="47" customFormat="false" ht="15" hidden="false" customHeight="false" outlineLevel="0" collapsed="false">
      <c r="A47" s="16" t="str">
        <f aca="false">$A$39</f>
        <v>Big Bend 2-door</v>
      </c>
      <c r="B47" s="5" t="s">
        <v>56</v>
      </c>
      <c r="C47" s="10" t="n">
        <f aca="false">IFERROR(C44/C45,"")</f>
        <v>2.1</v>
      </c>
      <c r="D47" s="10" t="n">
        <f aca="false">IFERROR(D44/D45,"")</f>
        <v>2.1</v>
      </c>
      <c r="E47" s="10" t="n">
        <f aca="false">IFERROR(E44/E45,"")</f>
        <v>2.1</v>
      </c>
      <c r="F47" s="10" t="n">
        <f aca="false">IFERROR(F44/F45,"")</f>
        <v>2</v>
      </c>
      <c r="G47" s="10" t="n">
        <f aca="false">IFERROR(G44/G45,"")</f>
        <v>2.0625</v>
      </c>
      <c r="H47" s="10" t="n">
        <f aca="false">IFERROR(H44/H45,"")</f>
        <v>2.14285714285714</v>
      </c>
      <c r="I47" s="10" t="n">
        <f aca="false">IFERROR(I44/I45,"")</f>
        <v>2.14285714285714</v>
      </c>
      <c r="J47" s="10" t="n">
        <f aca="false">IFERROR(J44/J45,"")</f>
        <v>2</v>
      </c>
      <c r="K47" s="10" t="n">
        <f aca="false">IFERROR(K44/K45,"")</f>
        <v>2.11764705882353</v>
      </c>
      <c r="L47" s="10" t="n">
        <f aca="false">IFERROR(L44/L45,"")</f>
        <v>2</v>
      </c>
      <c r="M47" s="10" t="n">
        <f aca="false">IFERROR(M44/M45,"")</f>
        <v>2.05263157894737</v>
      </c>
      <c r="N47" s="10" t="n">
        <f aca="false">IFERROR(N44/N45,"")</f>
        <v>2.05263157894737</v>
      </c>
    </row>
    <row r="48" customFormat="false" ht="15" hidden="false" customHeight="false" outlineLevel="0" collapsed="false">
      <c r="A48" s="16" t="str">
        <f aca="false">$A$39</f>
        <v>Big Bend 2-door</v>
      </c>
      <c r="B48" s="5" t="s">
        <v>57</v>
      </c>
      <c r="C48" s="23" t="n">
        <f aca="false">IF(C$3+$F$39&lt;=12,INDEX($C$42:$N$42,C$3+$F$39),"")</f>
        <v>5</v>
      </c>
      <c r="D48" s="23" t="n">
        <f aca="false">IF(D$3+$F$39&lt;=12,INDEX($C$42:$N$42,D$3+$F$39),"")</f>
        <v>6</v>
      </c>
      <c r="E48" s="23" t="n">
        <f aca="false">IF(E$3+$F$39&lt;=12,INDEX($C$42:$N$42,E$3+$F$39),"")</f>
        <v>5</v>
      </c>
      <c r="F48" s="23" t="n">
        <f aca="false">IF(F$3+$F$39&lt;=12,INDEX($C$42:$N$42,F$3+$F$39),"")</f>
        <v>5</v>
      </c>
      <c r="G48" s="23" t="n">
        <f aca="false">IF(G$3+$F$39&lt;=12,INDEX($C$42:$N$42,G$3+$F$39),"")</f>
        <v>5</v>
      </c>
      <c r="H48" s="23" t="n">
        <f aca="false">IF(H$3+$F$39&lt;=12,INDEX($C$42:$N$42,H$3+$F$39),"")</f>
        <v>6</v>
      </c>
      <c r="I48" s="23" t="n">
        <f aca="false">IF(I$3+$F$39&lt;=12,INDEX($C$42:$N$42,I$3+$F$39),"")</f>
        <v>5</v>
      </c>
      <c r="J48" s="23" t="n">
        <f aca="false">IF(J$3+$F$39&lt;=12,INDEX($C$42:$N$42,J$3+$F$39),"")</f>
        <v>7</v>
      </c>
      <c r="K48" s="23" t="n">
        <f aca="false">IF(K$3+$F$39&lt;=12,INDEX($C$42:$N$42,K$3+$F$39),"")</f>
        <v>6</v>
      </c>
      <c r="L48" s="23" t="str">
        <f aca="false">IF(L$3+$F$39&lt;=12,INDEX($C$42:$N$42,L$3+$F$39),"")</f>
        <v/>
      </c>
      <c r="M48" s="23" t="str">
        <f aca="false">IF(M$3+$F$39&lt;=12,INDEX($C$42:$N$42,M$3+$F$39),"")</f>
        <v/>
      </c>
      <c r="N48" s="23" t="str">
        <f aca="false">IF(N$3+$F$39&lt;=12,INDEX($C$42:$N$42,N$3+$F$39),"")</f>
        <v/>
      </c>
    </row>
    <row r="50" customFormat="false" ht="15" hidden="false" customHeight="false" outlineLevel="0" collapsed="false">
      <c r="A50" s="18" t="str">
        <f aca="false">INDEX(Settings!$B$2:$B$100,5)</f>
        <v>Big Bend 4-door</v>
      </c>
      <c r="B50" s="18" t="str">
        <f aca="false">INDEX(Settings!$A$2:$A$100,5)&amp;" - "&amp;A50</f>
        <v>Bronco - Big Bend 4-door</v>
      </c>
      <c r="C50" s="18" t="s">
        <v>39</v>
      </c>
      <c r="D50" s="18" t="n">
        <f aca="false">INDEX(Settings!$C$2:$C$100,MATCH($A50,Settings!$B$2:$B$100,0))</f>
        <v>2</v>
      </c>
      <c r="E50" s="18" t="s">
        <v>48</v>
      </c>
      <c r="F50" s="18" t="n">
        <f aca="false">INDEX(Settings!$D$2:$D$100,MATCH($A50,Settings!$B$2:$B$100,0))</f>
        <v>3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</row>
    <row r="51" customFormat="false" ht="15" hidden="false" customHeight="false" outlineLevel="0" collapsed="false">
      <c r="A51" s="16" t="str">
        <f aca="false">$A$50</f>
        <v>Big Bend 4-door</v>
      </c>
      <c r="B51" s="8" t="s">
        <v>49</v>
      </c>
      <c r="C51" s="20" t="n">
        <f aca="false">SUMIFS('Opening Stock'!$D$2:$D$1000,'Opening Stock'!$B$2:$B$1000,$A50)</f>
        <v>25</v>
      </c>
      <c r="D51" s="20" t="n">
        <f aca="false">C55</f>
        <v>25</v>
      </c>
      <c r="E51" s="20" t="n">
        <f aca="false">D55</f>
        <v>25</v>
      </c>
      <c r="F51" s="20" t="n">
        <f aca="false">E55</f>
        <v>25</v>
      </c>
      <c r="G51" s="20" t="n">
        <f aca="false">F55</f>
        <v>20</v>
      </c>
      <c r="H51" s="20" t="n">
        <f aca="false">G55</f>
        <v>18</v>
      </c>
      <c r="I51" s="20" t="n">
        <f aca="false">H55</f>
        <v>17</v>
      </c>
      <c r="J51" s="20" t="n">
        <f aca="false">I55</f>
        <v>16</v>
      </c>
      <c r="K51" s="20" t="n">
        <f aca="false">J55</f>
        <v>18</v>
      </c>
      <c r="L51" s="20" t="n">
        <f aca="false">K55</f>
        <v>19</v>
      </c>
      <c r="M51" s="20" t="n">
        <f aca="false">L55</f>
        <v>20</v>
      </c>
      <c r="N51" s="20" t="n">
        <f aca="false">M55</f>
        <v>22</v>
      </c>
    </row>
    <row r="52" customFormat="false" ht="15" hidden="false" customHeight="false" outlineLevel="0" collapsed="false">
      <c r="A52" s="16" t="str">
        <f aca="false">$A$50</f>
        <v>Big Bend 4-door</v>
      </c>
      <c r="B52" s="8" t="s">
        <v>50</v>
      </c>
      <c r="C52" s="20" t="n">
        <f aca="false">SUMIFS(Orders!$E$2:$E$2000,Orders!$C$2:$C$2000,$A50,Orders!$H$2:$H$2000,C$4)</f>
        <v>10</v>
      </c>
      <c r="D52" s="20" t="n">
        <f aca="false">SUMIFS(Orders!$E$2:$E$2000,Orders!$C$2:$C$2000,$A50,Orders!$H$2:$H$2000,D$4)</f>
        <v>12</v>
      </c>
      <c r="E52" s="20" t="n">
        <f aca="false">SUMIFS(Orders!$E$2:$E$2000,Orders!$C$2:$C$2000,$A50,Orders!$H$2:$H$2000,E$4)</f>
        <v>10</v>
      </c>
      <c r="F52" s="20" t="n">
        <f aca="false">SUMIFS(Orders!$E$2:$E$2000,Orders!$C$2:$C$2000,$A50,Orders!$H$2:$H$2000,F$4)</f>
        <v>0</v>
      </c>
      <c r="G52" s="20" t="n">
        <f aca="false">SUMIFS(Orders!$E$2:$E$2000,Orders!$C$2:$C$2000,$A50,Orders!$H$2:$H$2000,G$4)</f>
        <v>0</v>
      </c>
      <c r="H52" s="20" t="n">
        <f aca="false">SUMIFS(Orders!$E$2:$E$2000,Orders!$C$2:$C$2000,$A50,Orders!$H$2:$H$2000,H$4)</f>
        <v>0</v>
      </c>
      <c r="I52" s="20" t="n">
        <f aca="false">SUMIFS(Orders!$E$2:$E$2000,Orders!$C$2:$C$2000,$A50,Orders!$H$2:$H$2000,I$4)</f>
        <v>0</v>
      </c>
      <c r="J52" s="20" t="n">
        <f aca="false">SUMIFS(Orders!$E$2:$E$2000,Orders!$C$2:$C$2000,$A50,Orders!$H$2:$H$2000,J$4)</f>
        <v>0</v>
      </c>
      <c r="K52" s="20" t="n">
        <f aca="false">SUMIFS(Orders!$E$2:$E$2000,Orders!$C$2:$C$2000,$A50,Orders!$H$2:$H$2000,K$4)</f>
        <v>0</v>
      </c>
      <c r="L52" s="20" t="n">
        <f aca="false">SUMIFS(Orders!$E$2:$E$2000,Orders!$C$2:$C$2000,$A50,Orders!$H$2:$H$2000,L$4)</f>
        <v>0</v>
      </c>
      <c r="M52" s="20" t="n">
        <f aca="false">SUMIFS(Orders!$E$2:$E$2000,Orders!$C$2:$C$2000,$A50,Orders!$H$2:$H$2000,M$4)</f>
        <v>0</v>
      </c>
      <c r="N52" s="20" t="n">
        <f aca="false">SUMIFS(Orders!$E$2:$E$2000,Orders!$C$2:$C$2000,$A50,Orders!$H$2:$H$2000,N$4)</f>
        <v>0</v>
      </c>
    </row>
    <row r="53" customFormat="false" ht="15" hidden="false" customHeight="false" outlineLevel="0" collapsed="false">
      <c r="A53" s="16" t="str">
        <f aca="false">$A$50</f>
        <v>Big Bend 4-door</v>
      </c>
      <c r="B53" s="8" t="s">
        <v>51</v>
      </c>
      <c r="C53" s="21" t="n">
        <f aca="false">IF(C$3&lt;=$F$50,0,MAX(0,ROUNDUP(C57-(C51+C52-C54),0)))</f>
        <v>0</v>
      </c>
      <c r="D53" s="21" t="n">
        <f aca="false">IF(D$3&lt;=$F$50,0,MAX(0,ROUNDUP(D57-(D51+D52-D54),0)))</f>
        <v>0</v>
      </c>
      <c r="E53" s="21" t="n">
        <f aca="false">IF(E$3&lt;=$F$50,0,MAX(0,ROUNDUP(E57-(E51+E52-E54),0)))</f>
        <v>0</v>
      </c>
      <c r="F53" s="20" t="n">
        <f aca="false">IF(F$3&lt;=$F$50,0,MAX(0,ROUNDUP(F57-(F51+F52-F54),0)))</f>
        <v>7</v>
      </c>
      <c r="G53" s="20" t="n">
        <f aca="false">IF(G$3&lt;=$F$50,0,MAX(0,ROUNDUP(G57-(G51+G52-G54),0)))</f>
        <v>9</v>
      </c>
      <c r="H53" s="20" t="n">
        <f aca="false">IF(H$3&lt;=$F$50,0,MAX(0,ROUNDUP(H57-(H51+H52-H54),0)))</f>
        <v>9</v>
      </c>
      <c r="I53" s="20" t="n">
        <f aca="false">IF(I$3&lt;=$F$50,0,MAX(0,ROUNDUP(I57-(I51+I52-I54),0)))</f>
        <v>8</v>
      </c>
      <c r="J53" s="20" t="n">
        <f aca="false">IF(J$3&lt;=$F$50,0,MAX(0,ROUNDUP(J57-(J51+J52-J54),0)))</f>
        <v>10</v>
      </c>
      <c r="K53" s="20" t="n">
        <f aca="false">IF(K$3&lt;=$F$50,0,MAX(0,ROUNDUP(K57-(K51+K52-K54),0)))</f>
        <v>9</v>
      </c>
      <c r="L53" s="20" t="n">
        <f aca="false">IF(L$3&lt;=$F$50,0,MAX(0,ROUNDUP(L57-(L51+L52-L54),0)))</f>
        <v>9</v>
      </c>
      <c r="M53" s="20" t="n">
        <f aca="false">IF(M$3&lt;=$F$50,0,MAX(0,ROUNDUP(M57-(M51+M52-M54),0)))</f>
        <v>12</v>
      </c>
      <c r="N53" s="20" t="n">
        <f aca="false">IF(N$3&lt;=$F$50,0,MAX(0,ROUNDUP(N57-(N51+N52-N54),0)))</f>
        <v>10</v>
      </c>
    </row>
    <row r="54" customFormat="false" ht="15" hidden="false" customHeight="false" outlineLevel="0" collapsed="false">
      <c r="A54" s="16" t="str">
        <f aca="false">$A$50</f>
        <v>Big Bend 4-door</v>
      </c>
      <c r="B54" s="8" t="s">
        <v>52</v>
      </c>
      <c r="C54" s="20" t="n">
        <f aca="false">IF(COUNTIFS(Sales!$B$2:$B$2000,$A50,Sales!$C$2:$C$2000,C$4,Sales!$E$2:$E$2000,"Actual")&gt;0,SUMIFS(Sales!$D$2:$D$2000,Sales!$B$2:$B$2000,$A50,Sales!$C$2:$C$2000,C$4,Sales!$E$2:$E$2000,"Actual"),SUMIFS(Sales!$D$2:$D$2000,Sales!$B$2:$B$2000,$A50,Sales!$C$2:$C$2000,C$4,Sales!$E$2:$E$2000,"Forecast"))</f>
        <v>10</v>
      </c>
      <c r="D54" s="20" t="n">
        <f aca="false">IF(COUNTIFS(Sales!$B$2:$B$2000,$A50,Sales!$C$2:$C$2000,D$4,Sales!$E$2:$E$2000,"Actual")&gt;0,SUMIFS(Sales!$D$2:$D$2000,Sales!$B$2:$B$2000,$A50,Sales!$C$2:$C$2000,D$4,Sales!$E$2:$E$2000,"Actual"),SUMIFS(Sales!$D$2:$D$2000,Sales!$B$2:$B$2000,$A50,Sales!$C$2:$C$2000,D$4,Sales!$E$2:$E$2000,"Forecast"))</f>
        <v>12</v>
      </c>
      <c r="E54" s="20" t="n">
        <f aca="false">IF(COUNTIFS(Sales!$B$2:$B$2000,$A50,Sales!$C$2:$C$2000,E$4,Sales!$E$2:$E$2000,"Actual")&gt;0,SUMIFS(Sales!$D$2:$D$2000,Sales!$B$2:$B$2000,$A50,Sales!$C$2:$C$2000,E$4,Sales!$E$2:$E$2000,"Actual"),SUMIFS(Sales!$D$2:$D$2000,Sales!$B$2:$B$2000,$A50,Sales!$C$2:$C$2000,E$4,Sales!$E$2:$E$2000,"Forecast"))</f>
        <v>10</v>
      </c>
      <c r="F54" s="20" t="n">
        <f aca="false">IF(COUNTIFS(Sales!$B$2:$B$2000,$A50,Sales!$C$2:$C$2000,F$4,Sales!$E$2:$E$2000,"Actual")&gt;0,SUMIFS(Sales!$D$2:$D$2000,Sales!$B$2:$B$2000,$A50,Sales!$C$2:$C$2000,F$4,Sales!$E$2:$E$2000,"Actual"),SUMIFS(Sales!$D$2:$D$2000,Sales!$B$2:$B$2000,$A50,Sales!$C$2:$C$2000,F$4,Sales!$E$2:$E$2000,"Forecast"))</f>
        <v>12</v>
      </c>
      <c r="G54" s="20" t="n">
        <f aca="false">IF(COUNTIFS(Sales!$B$2:$B$2000,$A50,Sales!$C$2:$C$2000,G$4,Sales!$E$2:$E$2000,"Actual")&gt;0,SUMIFS(Sales!$D$2:$D$2000,Sales!$B$2:$B$2000,$A50,Sales!$C$2:$C$2000,G$4,Sales!$E$2:$E$2000,"Actual"),SUMIFS(Sales!$D$2:$D$2000,Sales!$B$2:$B$2000,$A50,Sales!$C$2:$C$2000,G$4,Sales!$E$2:$E$2000,"Forecast"))</f>
        <v>11</v>
      </c>
      <c r="H54" s="20" t="n">
        <f aca="false">IF(COUNTIFS(Sales!$B$2:$B$2000,$A50,Sales!$C$2:$C$2000,H$4,Sales!$E$2:$E$2000,"Actual")&gt;0,SUMIFS(Sales!$D$2:$D$2000,Sales!$B$2:$B$2000,$A50,Sales!$C$2:$C$2000,H$4,Sales!$E$2:$E$2000,"Actual"),SUMIFS(Sales!$D$2:$D$2000,Sales!$B$2:$B$2000,$A50,Sales!$C$2:$C$2000,H$4,Sales!$E$2:$E$2000,"Forecast"))</f>
        <v>10</v>
      </c>
      <c r="I54" s="20" t="n">
        <f aca="false">IF(COUNTIFS(Sales!$B$2:$B$2000,$A50,Sales!$C$2:$C$2000,I$4,Sales!$E$2:$E$2000,"Actual")&gt;0,SUMIFS(Sales!$D$2:$D$2000,Sales!$B$2:$B$2000,$A50,Sales!$C$2:$C$2000,I$4,Sales!$E$2:$E$2000,"Actual"),SUMIFS(Sales!$D$2:$D$2000,Sales!$B$2:$B$2000,$A50,Sales!$C$2:$C$2000,I$4,Sales!$E$2:$E$2000,"Forecast"))</f>
        <v>9</v>
      </c>
      <c r="J54" s="20" t="n">
        <f aca="false">IF(COUNTIFS(Sales!$B$2:$B$2000,$A50,Sales!$C$2:$C$2000,J$4,Sales!$E$2:$E$2000,"Actual")&gt;0,SUMIFS(Sales!$D$2:$D$2000,Sales!$B$2:$B$2000,$A50,Sales!$C$2:$C$2000,J$4,Sales!$E$2:$E$2000,"Actual"),SUMIFS(Sales!$D$2:$D$2000,Sales!$B$2:$B$2000,$A50,Sales!$C$2:$C$2000,J$4,Sales!$E$2:$E$2000,"Forecast"))</f>
        <v>8</v>
      </c>
      <c r="K54" s="20" t="n">
        <f aca="false">IF(COUNTIFS(Sales!$B$2:$B$2000,$A50,Sales!$C$2:$C$2000,K$4,Sales!$E$2:$E$2000,"Actual")&gt;0,SUMIFS(Sales!$D$2:$D$2000,Sales!$B$2:$B$2000,$A50,Sales!$C$2:$C$2000,K$4,Sales!$E$2:$E$2000,"Actual"),SUMIFS(Sales!$D$2:$D$2000,Sales!$B$2:$B$2000,$A50,Sales!$C$2:$C$2000,K$4,Sales!$E$2:$E$2000,"Forecast"))</f>
        <v>8</v>
      </c>
      <c r="L54" s="20" t="n">
        <f aca="false">IF(COUNTIFS(Sales!$B$2:$B$2000,$A50,Sales!$C$2:$C$2000,L$4,Sales!$E$2:$E$2000,"Actual")&gt;0,SUMIFS(Sales!$D$2:$D$2000,Sales!$B$2:$B$2000,$A50,Sales!$C$2:$C$2000,L$4,Sales!$E$2:$E$2000,"Actual"),SUMIFS(Sales!$D$2:$D$2000,Sales!$B$2:$B$2000,$A50,Sales!$C$2:$C$2000,L$4,Sales!$E$2:$E$2000,"Forecast"))</f>
        <v>8</v>
      </c>
      <c r="M54" s="20" t="n">
        <f aca="false">IF(COUNTIFS(Sales!$B$2:$B$2000,$A50,Sales!$C$2:$C$2000,M$4,Sales!$E$2:$E$2000,"Actual")&gt;0,SUMIFS(Sales!$D$2:$D$2000,Sales!$B$2:$B$2000,$A50,Sales!$C$2:$C$2000,M$4,Sales!$E$2:$E$2000,"Actual"),SUMIFS(Sales!$D$2:$D$2000,Sales!$B$2:$B$2000,$A50,Sales!$C$2:$C$2000,M$4,Sales!$E$2:$E$2000,"Forecast"))</f>
        <v>10</v>
      </c>
      <c r="N54" s="20" t="n">
        <f aca="false">IF(COUNTIFS(Sales!$B$2:$B$2000,$A50,Sales!$C$2:$C$2000,N$4,Sales!$E$2:$E$2000,"Actual")&gt;0,SUMIFS(Sales!$D$2:$D$2000,Sales!$B$2:$B$2000,$A50,Sales!$C$2:$C$2000,N$4,Sales!$E$2:$E$2000,"Actual"),SUMIFS(Sales!$D$2:$D$2000,Sales!$B$2:$B$2000,$A50,Sales!$C$2:$C$2000,N$4,Sales!$E$2:$E$2000,"Forecast"))</f>
        <v>10</v>
      </c>
      <c r="O54" s="22" t="n">
        <f aca="false">IF(COUNTIFS(Sales!$B$2:$B$2000,$A50,Sales!$C$2:$C$2000,O$4,Sales!$E$2:$E$2000,"Actual")&gt;0,SUMIFS(Sales!$D$2:$D$2000,Sales!$B$2:$B$2000,$A50,Sales!$C$2:$C$2000,O$4,Sales!$E$2:$E$2000,"Actual"),SUMIFS(Sales!$D$2:$D$2000,Sales!$B$2:$B$2000,$A50,Sales!$C$2:$C$2000,O$4,Sales!$E$2:$E$2000,"Forecast"))</f>
        <v>10</v>
      </c>
      <c r="P54" s="22" t="n">
        <f aca="false">IF(COUNTIFS(Sales!$B$2:$B$2000,$A50,Sales!$C$2:$C$2000,P$4,Sales!$E$2:$E$2000,"Actual")&gt;0,SUMIFS(Sales!$D$2:$D$2000,Sales!$B$2:$B$2000,$A50,Sales!$C$2:$C$2000,P$4,Sales!$E$2:$E$2000,"Actual"),SUMIFS(Sales!$D$2:$D$2000,Sales!$B$2:$B$2000,$A50,Sales!$C$2:$C$2000,P$4,Sales!$E$2:$E$2000,"Forecast"))</f>
        <v>12</v>
      </c>
      <c r="Q54" s="22" t="n">
        <f aca="false">IF(COUNTIFS(Sales!$B$2:$B$2000,$A50,Sales!$C$2:$C$2000,Q$4,Sales!$E$2:$E$2000,"Actual")&gt;0,SUMIFS(Sales!$D$2:$D$2000,Sales!$B$2:$B$2000,$A50,Sales!$C$2:$C$2000,Q$4,Sales!$E$2:$E$2000,"Actual"),SUMIFS(Sales!$D$2:$D$2000,Sales!$B$2:$B$2000,$A50,Sales!$C$2:$C$2000,Q$4,Sales!$E$2:$E$2000,"Forecast"))</f>
        <v>10</v>
      </c>
    </row>
    <row r="55" customFormat="false" ht="15" hidden="false" customHeight="false" outlineLevel="0" collapsed="false">
      <c r="A55" s="16" t="str">
        <f aca="false">$A$50</f>
        <v>Big Bend 4-door</v>
      </c>
      <c r="B55" s="5" t="s">
        <v>53</v>
      </c>
      <c r="C55" s="23" t="n">
        <f aca="false">C51+C52+C53-C54</f>
        <v>25</v>
      </c>
      <c r="D55" s="23" t="n">
        <f aca="false">D51+D52+D53-D54</f>
        <v>25</v>
      </c>
      <c r="E55" s="23" t="n">
        <f aca="false">E51+E52+E53-E54</f>
        <v>25</v>
      </c>
      <c r="F55" s="23" t="n">
        <f aca="false">F51+F52+F53-F54</f>
        <v>20</v>
      </c>
      <c r="G55" s="23" t="n">
        <f aca="false">G51+G52+G53-G54</f>
        <v>18</v>
      </c>
      <c r="H55" s="23" t="n">
        <f aca="false">H51+H52+H53-H54</f>
        <v>17</v>
      </c>
      <c r="I55" s="23" t="n">
        <f aca="false">I51+I52+I53-I54</f>
        <v>16</v>
      </c>
      <c r="J55" s="23" t="n">
        <f aca="false">J51+J52+J53-J54</f>
        <v>18</v>
      </c>
      <c r="K55" s="23" t="n">
        <f aca="false">K51+K52+K53-K54</f>
        <v>19</v>
      </c>
      <c r="L55" s="23" t="n">
        <f aca="false">L51+L52+L53-L54</f>
        <v>20</v>
      </c>
      <c r="M55" s="23" t="n">
        <f aca="false">M51+M52+M53-M54</f>
        <v>22</v>
      </c>
      <c r="N55" s="23" t="n">
        <f aca="false">N51+N52+N53-N54</f>
        <v>22</v>
      </c>
    </row>
    <row r="56" customFormat="false" ht="15" hidden="false" customHeight="false" outlineLevel="0" collapsed="false">
      <c r="A56" s="16" t="str">
        <f aca="false">$A$50</f>
        <v>Big Bend 4-door</v>
      </c>
      <c r="B56" s="8" t="s">
        <v>54</v>
      </c>
      <c r="C56" s="10" t="n">
        <f aca="false">AVERAGE(D54:F54)</f>
        <v>11.3333333333333</v>
      </c>
      <c r="D56" s="10" t="n">
        <f aca="false">AVERAGE(E54:G54)</f>
        <v>11</v>
      </c>
      <c r="E56" s="10" t="n">
        <f aca="false">AVERAGE(F54:H54)</f>
        <v>11</v>
      </c>
      <c r="F56" s="10" t="n">
        <f aca="false">AVERAGE(G54:I54)</f>
        <v>10</v>
      </c>
      <c r="G56" s="10" t="n">
        <f aca="false">AVERAGE(H54:J54)</f>
        <v>9</v>
      </c>
      <c r="H56" s="10" t="n">
        <f aca="false">AVERAGE(I54:K54)</f>
        <v>8.33333333333333</v>
      </c>
      <c r="I56" s="10" t="n">
        <f aca="false">AVERAGE(J54:L54)</f>
        <v>8</v>
      </c>
      <c r="J56" s="10" t="n">
        <f aca="false">AVERAGE(K54:M54)</f>
        <v>8.66666666666667</v>
      </c>
      <c r="K56" s="10" t="n">
        <f aca="false">AVERAGE(L54:N54)</f>
        <v>9.33333333333333</v>
      </c>
      <c r="L56" s="10" t="n">
        <f aca="false">AVERAGE(M54:O54)</f>
        <v>10</v>
      </c>
      <c r="M56" s="10" t="n">
        <f aca="false">AVERAGE(N54:P54)</f>
        <v>10.6666666666667</v>
      </c>
      <c r="N56" s="10" t="n">
        <f aca="false">AVERAGE(O54:Q54)</f>
        <v>10.6666666666667</v>
      </c>
    </row>
    <row r="57" customFormat="false" ht="15" hidden="false" customHeight="false" outlineLevel="0" collapsed="false">
      <c r="A57" s="16" t="str">
        <f aca="false">$A$50</f>
        <v>Big Bend 4-door</v>
      </c>
      <c r="B57" s="8" t="s">
        <v>55</v>
      </c>
      <c r="C57" s="10" t="n">
        <f aca="false">$D$50*C56</f>
        <v>22.6666666666667</v>
      </c>
      <c r="D57" s="10" t="n">
        <f aca="false">$D$50*D56</f>
        <v>22</v>
      </c>
      <c r="E57" s="10" t="n">
        <f aca="false">$D$50*E56</f>
        <v>22</v>
      </c>
      <c r="F57" s="10" t="n">
        <f aca="false">$D$50*F56</f>
        <v>20</v>
      </c>
      <c r="G57" s="10" t="n">
        <f aca="false">$D$50*G56</f>
        <v>18</v>
      </c>
      <c r="H57" s="10" t="n">
        <f aca="false">$D$50*H56</f>
        <v>16.6666666666667</v>
      </c>
      <c r="I57" s="10" t="n">
        <f aca="false">$D$50*I56</f>
        <v>16</v>
      </c>
      <c r="J57" s="10" t="n">
        <f aca="false">$D$50*J56</f>
        <v>17.3333333333333</v>
      </c>
      <c r="K57" s="10" t="n">
        <f aca="false">$D$50*K56</f>
        <v>18.6666666666667</v>
      </c>
      <c r="L57" s="10" t="n">
        <f aca="false">$D$50*L56</f>
        <v>20</v>
      </c>
      <c r="M57" s="10" t="n">
        <f aca="false">$D$50*M56</f>
        <v>21.3333333333333</v>
      </c>
      <c r="N57" s="10" t="n">
        <f aca="false">$D$50*N56</f>
        <v>21.3333333333333</v>
      </c>
    </row>
    <row r="58" customFormat="false" ht="15" hidden="false" customHeight="false" outlineLevel="0" collapsed="false">
      <c r="A58" s="16" t="str">
        <f aca="false">$A$50</f>
        <v>Big Bend 4-door</v>
      </c>
      <c r="B58" s="5" t="s">
        <v>56</v>
      </c>
      <c r="C58" s="10" t="n">
        <f aca="false">IFERROR(C55/C56,"")</f>
        <v>2.20588235294118</v>
      </c>
      <c r="D58" s="10" t="n">
        <f aca="false">IFERROR(D55/D56,"")</f>
        <v>2.27272727272727</v>
      </c>
      <c r="E58" s="10" t="n">
        <f aca="false">IFERROR(E55/E56,"")</f>
        <v>2.27272727272727</v>
      </c>
      <c r="F58" s="10" t="n">
        <f aca="false">IFERROR(F55/F56,"")</f>
        <v>2</v>
      </c>
      <c r="G58" s="10" t="n">
        <f aca="false">IFERROR(G55/G56,"")</f>
        <v>2</v>
      </c>
      <c r="H58" s="10" t="n">
        <f aca="false">IFERROR(H55/H56,"")</f>
        <v>2.04</v>
      </c>
      <c r="I58" s="10" t="n">
        <f aca="false">IFERROR(I55/I56,"")</f>
        <v>2</v>
      </c>
      <c r="J58" s="10" t="n">
        <f aca="false">IFERROR(J55/J56,"")</f>
        <v>2.07692307692308</v>
      </c>
      <c r="K58" s="10" t="n">
        <f aca="false">IFERROR(K55/K56,"")</f>
        <v>2.03571428571429</v>
      </c>
      <c r="L58" s="10" t="n">
        <f aca="false">IFERROR(L55/L56,"")</f>
        <v>2</v>
      </c>
      <c r="M58" s="10" t="n">
        <f aca="false">IFERROR(M55/M56,"")</f>
        <v>2.0625</v>
      </c>
      <c r="N58" s="10" t="n">
        <f aca="false">IFERROR(N55/N56,"")</f>
        <v>2.0625</v>
      </c>
    </row>
    <row r="59" customFormat="false" ht="15" hidden="false" customHeight="false" outlineLevel="0" collapsed="false">
      <c r="A59" s="16" t="str">
        <f aca="false">$A$50</f>
        <v>Big Bend 4-door</v>
      </c>
      <c r="B59" s="5" t="s">
        <v>57</v>
      </c>
      <c r="C59" s="23" t="n">
        <f aca="false">IF(C$3+$F$50&lt;=12,INDEX($C$53:$N$53,C$3+$F$50),"")</f>
        <v>7</v>
      </c>
      <c r="D59" s="23" t="n">
        <f aca="false">IF(D$3+$F$50&lt;=12,INDEX($C$53:$N$53,D$3+$F$50),"")</f>
        <v>9</v>
      </c>
      <c r="E59" s="23" t="n">
        <f aca="false">IF(E$3+$F$50&lt;=12,INDEX($C$53:$N$53,E$3+$F$50),"")</f>
        <v>9</v>
      </c>
      <c r="F59" s="23" t="n">
        <f aca="false">IF(F$3+$F$50&lt;=12,INDEX($C$53:$N$53,F$3+$F$50),"")</f>
        <v>8</v>
      </c>
      <c r="G59" s="23" t="n">
        <f aca="false">IF(G$3+$F$50&lt;=12,INDEX($C$53:$N$53,G$3+$F$50),"")</f>
        <v>10</v>
      </c>
      <c r="H59" s="23" t="n">
        <f aca="false">IF(H$3+$F$50&lt;=12,INDEX($C$53:$N$53,H$3+$F$50),"")</f>
        <v>9</v>
      </c>
      <c r="I59" s="23" t="n">
        <f aca="false">IF(I$3+$F$50&lt;=12,INDEX($C$53:$N$53,I$3+$F$50),"")</f>
        <v>9</v>
      </c>
      <c r="J59" s="23" t="n">
        <f aca="false">IF(J$3+$F$50&lt;=12,INDEX($C$53:$N$53,J$3+$F$50),"")</f>
        <v>12</v>
      </c>
      <c r="K59" s="23" t="n">
        <f aca="false">IF(K$3+$F$50&lt;=12,INDEX($C$53:$N$53,K$3+$F$50),"")</f>
        <v>10</v>
      </c>
      <c r="L59" s="23" t="str">
        <f aca="false">IF(L$3+$F$50&lt;=12,INDEX($C$53:$N$53,L$3+$F$50),"")</f>
        <v/>
      </c>
      <c r="M59" s="23" t="str">
        <f aca="false">IF(M$3+$F$50&lt;=12,INDEX($C$53:$N$53,M$3+$F$50),"")</f>
        <v/>
      </c>
      <c r="N59" s="23" t="str">
        <f aca="false">IF(N$3+$F$50&lt;=12,INDEX($C$53:$N$53,N$3+$F$50),"")</f>
        <v/>
      </c>
    </row>
    <row r="61" customFormat="false" ht="15" hidden="false" customHeight="false" outlineLevel="0" collapsed="false">
      <c r="A61" s="18" t="str">
        <f aca="false">INDEX(Settings!$B$2:$B$100,6)</f>
        <v>Outer Banks</v>
      </c>
      <c r="B61" s="18" t="str">
        <f aca="false">INDEX(Settings!$A$2:$A$100,6)&amp;" - "&amp;A61</f>
        <v>Bronco - Outer Banks</v>
      </c>
      <c r="C61" s="18" t="s">
        <v>39</v>
      </c>
      <c r="D61" s="18" t="n">
        <f aca="false">INDEX(Settings!$C$2:$C$100,MATCH($A61,Settings!$B$2:$B$100,0))</f>
        <v>2</v>
      </c>
      <c r="E61" s="18" t="s">
        <v>48</v>
      </c>
      <c r="F61" s="18" t="n">
        <f aca="false">INDEX(Settings!$D$2:$D$100,MATCH($A61,Settings!$B$2:$B$100,0))</f>
        <v>3</v>
      </c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</row>
    <row r="62" customFormat="false" ht="15" hidden="false" customHeight="false" outlineLevel="0" collapsed="false">
      <c r="A62" s="16" t="str">
        <f aca="false">$A$61</f>
        <v>Outer Banks</v>
      </c>
      <c r="B62" s="8" t="s">
        <v>49</v>
      </c>
      <c r="C62" s="20" t="n">
        <f aca="false">SUMIFS('Opening Stock'!$D$2:$D$1000,'Opening Stock'!$B$2:$B$1000,$A61)</f>
        <v>19</v>
      </c>
      <c r="D62" s="20" t="n">
        <f aca="false">C66</f>
        <v>19</v>
      </c>
      <c r="E62" s="20" t="n">
        <f aca="false">D66</f>
        <v>19</v>
      </c>
      <c r="F62" s="20" t="n">
        <f aca="false">E66</f>
        <v>19</v>
      </c>
      <c r="G62" s="20" t="n">
        <f aca="false">F66</f>
        <v>16</v>
      </c>
      <c r="H62" s="20" t="n">
        <f aca="false">G66</f>
        <v>14</v>
      </c>
      <c r="I62" s="20" t="n">
        <f aca="false">H66</f>
        <v>13</v>
      </c>
      <c r="J62" s="20" t="n">
        <f aca="false">I66</f>
        <v>12</v>
      </c>
      <c r="K62" s="20" t="n">
        <f aca="false">J66</f>
        <v>14</v>
      </c>
      <c r="L62" s="20" t="n">
        <f aca="false">K66</f>
        <v>15</v>
      </c>
      <c r="M62" s="20" t="n">
        <f aca="false">L66</f>
        <v>16</v>
      </c>
      <c r="N62" s="20" t="n">
        <f aca="false">M66</f>
        <v>17</v>
      </c>
    </row>
    <row r="63" customFormat="false" ht="15" hidden="false" customHeight="false" outlineLevel="0" collapsed="false">
      <c r="A63" s="16" t="str">
        <f aca="false">$A$61</f>
        <v>Outer Banks</v>
      </c>
      <c r="B63" s="8" t="s">
        <v>50</v>
      </c>
      <c r="C63" s="20" t="n">
        <f aca="false">SUMIFS(Orders!$E$2:$E$2000,Orders!$C$2:$C$2000,$A61,Orders!$H$2:$H$2000,C$4)</f>
        <v>8</v>
      </c>
      <c r="D63" s="20" t="n">
        <f aca="false">SUMIFS(Orders!$E$2:$E$2000,Orders!$C$2:$C$2000,$A61,Orders!$H$2:$H$2000,D$4)</f>
        <v>9</v>
      </c>
      <c r="E63" s="20" t="n">
        <f aca="false">SUMIFS(Orders!$E$2:$E$2000,Orders!$C$2:$C$2000,$A61,Orders!$H$2:$H$2000,E$4)</f>
        <v>8</v>
      </c>
      <c r="F63" s="20" t="n">
        <f aca="false">SUMIFS(Orders!$E$2:$E$2000,Orders!$C$2:$C$2000,$A61,Orders!$H$2:$H$2000,F$4)</f>
        <v>0</v>
      </c>
      <c r="G63" s="20" t="n">
        <f aca="false">SUMIFS(Orders!$E$2:$E$2000,Orders!$C$2:$C$2000,$A61,Orders!$H$2:$H$2000,G$4)</f>
        <v>0</v>
      </c>
      <c r="H63" s="20" t="n">
        <f aca="false">SUMIFS(Orders!$E$2:$E$2000,Orders!$C$2:$C$2000,$A61,Orders!$H$2:$H$2000,H$4)</f>
        <v>0</v>
      </c>
      <c r="I63" s="20" t="n">
        <f aca="false">SUMIFS(Orders!$E$2:$E$2000,Orders!$C$2:$C$2000,$A61,Orders!$H$2:$H$2000,I$4)</f>
        <v>0</v>
      </c>
      <c r="J63" s="20" t="n">
        <f aca="false">SUMIFS(Orders!$E$2:$E$2000,Orders!$C$2:$C$2000,$A61,Orders!$H$2:$H$2000,J$4)</f>
        <v>0</v>
      </c>
      <c r="K63" s="20" t="n">
        <f aca="false">SUMIFS(Orders!$E$2:$E$2000,Orders!$C$2:$C$2000,$A61,Orders!$H$2:$H$2000,K$4)</f>
        <v>0</v>
      </c>
      <c r="L63" s="20" t="n">
        <f aca="false">SUMIFS(Orders!$E$2:$E$2000,Orders!$C$2:$C$2000,$A61,Orders!$H$2:$H$2000,L$4)</f>
        <v>0</v>
      </c>
      <c r="M63" s="20" t="n">
        <f aca="false">SUMIFS(Orders!$E$2:$E$2000,Orders!$C$2:$C$2000,$A61,Orders!$H$2:$H$2000,M$4)</f>
        <v>0</v>
      </c>
      <c r="N63" s="20" t="n">
        <f aca="false">SUMIFS(Orders!$E$2:$E$2000,Orders!$C$2:$C$2000,$A61,Orders!$H$2:$H$2000,N$4)</f>
        <v>0</v>
      </c>
    </row>
    <row r="64" customFormat="false" ht="15" hidden="false" customHeight="false" outlineLevel="0" collapsed="false">
      <c r="A64" s="16" t="str">
        <f aca="false">$A$61</f>
        <v>Outer Banks</v>
      </c>
      <c r="B64" s="8" t="s">
        <v>51</v>
      </c>
      <c r="C64" s="21" t="n">
        <f aca="false">IF(C$3&lt;=$F$61,0,MAX(0,ROUNDUP(C68-(C62+C63-C65),0)))</f>
        <v>0</v>
      </c>
      <c r="D64" s="21" t="n">
        <f aca="false">IF(D$3&lt;=$F$61,0,MAX(0,ROUNDUP(D68-(D62+D63-D65),0)))</f>
        <v>0</v>
      </c>
      <c r="E64" s="21" t="n">
        <f aca="false">IF(E$3&lt;=$F$61,0,MAX(0,ROUNDUP(E68-(E62+E63-E65),0)))</f>
        <v>0</v>
      </c>
      <c r="F64" s="20" t="n">
        <f aca="false">IF(F$3&lt;=$F$61,0,MAX(0,ROUNDUP(F68-(F62+F63-F65),0)))</f>
        <v>7</v>
      </c>
      <c r="G64" s="20" t="n">
        <f aca="false">IF(G$3&lt;=$F$61,0,MAX(0,ROUNDUP(G68-(G62+G63-G65),0)))</f>
        <v>7</v>
      </c>
      <c r="H64" s="20" t="n">
        <f aca="false">IF(H$3&lt;=$F$61,0,MAX(0,ROUNDUP(H68-(H62+H63-H65),0)))</f>
        <v>7</v>
      </c>
      <c r="I64" s="20" t="n">
        <f aca="false">IF(I$3&lt;=$F$61,0,MAX(0,ROUNDUP(I68-(I62+I63-I65),0)))</f>
        <v>6</v>
      </c>
      <c r="J64" s="20" t="n">
        <f aca="false">IF(J$3&lt;=$F$61,0,MAX(0,ROUNDUP(J68-(J62+J63-J65),0)))</f>
        <v>8</v>
      </c>
      <c r="K64" s="20" t="n">
        <f aca="false">IF(K$3&lt;=$F$61,0,MAX(0,ROUNDUP(K68-(K62+K63-K65),0)))</f>
        <v>7</v>
      </c>
      <c r="L64" s="20" t="n">
        <f aca="false">IF(L$3&lt;=$F$61,0,MAX(0,ROUNDUP(L68-(L62+L63-L65),0)))</f>
        <v>7</v>
      </c>
      <c r="M64" s="20" t="n">
        <f aca="false">IF(M$3&lt;=$F$61,0,MAX(0,ROUNDUP(M68-(M62+M63-M65),0)))</f>
        <v>9</v>
      </c>
      <c r="N64" s="20" t="n">
        <f aca="false">IF(N$3&lt;=$F$61,0,MAX(0,ROUNDUP(N68-(N62+N63-N65),0)))</f>
        <v>8</v>
      </c>
    </row>
    <row r="65" customFormat="false" ht="15" hidden="false" customHeight="false" outlineLevel="0" collapsed="false">
      <c r="A65" s="16" t="str">
        <f aca="false">$A$61</f>
        <v>Outer Banks</v>
      </c>
      <c r="B65" s="8" t="s">
        <v>52</v>
      </c>
      <c r="C65" s="20" t="n">
        <f aca="false">IF(COUNTIFS(Sales!$B$2:$B$2000,$A61,Sales!$C$2:$C$2000,C$4,Sales!$E$2:$E$2000,"Actual")&gt;0,SUMIFS(Sales!$D$2:$D$2000,Sales!$B$2:$B$2000,$A61,Sales!$C$2:$C$2000,C$4,Sales!$E$2:$E$2000,"Actual"),SUMIFS(Sales!$D$2:$D$2000,Sales!$B$2:$B$2000,$A61,Sales!$C$2:$C$2000,C$4,Sales!$E$2:$E$2000,"Forecast"))</f>
        <v>8</v>
      </c>
      <c r="D65" s="20" t="n">
        <f aca="false">IF(COUNTIFS(Sales!$B$2:$B$2000,$A61,Sales!$C$2:$C$2000,D$4,Sales!$E$2:$E$2000,"Actual")&gt;0,SUMIFS(Sales!$D$2:$D$2000,Sales!$B$2:$B$2000,$A61,Sales!$C$2:$C$2000,D$4,Sales!$E$2:$E$2000,"Actual"),SUMIFS(Sales!$D$2:$D$2000,Sales!$B$2:$B$2000,$A61,Sales!$C$2:$C$2000,D$4,Sales!$E$2:$E$2000,"Forecast"))</f>
        <v>9</v>
      </c>
      <c r="E65" s="20" t="n">
        <f aca="false">IF(COUNTIFS(Sales!$B$2:$B$2000,$A61,Sales!$C$2:$C$2000,E$4,Sales!$E$2:$E$2000,"Actual")&gt;0,SUMIFS(Sales!$D$2:$D$2000,Sales!$B$2:$B$2000,$A61,Sales!$C$2:$C$2000,E$4,Sales!$E$2:$E$2000,"Actual"),SUMIFS(Sales!$D$2:$D$2000,Sales!$B$2:$B$2000,$A61,Sales!$C$2:$C$2000,E$4,Sales!$E$2:$E$2000,"Forecast"))</f>
        <v>8</v>
      </c>
      <c r="F65" s="20" t="n">
        <f aca="false">IF(COUNTIFS(Sales!$B$2:$B$2000,$A61,Sales!$C$2:$C$2000,F$4,Sales!$E$2:$E$2000,"Actual")&gt;0,SUMIFS(Sales!$D$2:$D$2000,Sales!$B$2:$B$2000,$A61,Sales!$C$2:$C$2000,F$4,Sales!$E$2:$E$2000,"Actual"),SUMIFS(Sales!$D$2:$D$2000,Sales!$B$2:$B$2000,$A61,Sales!$C$2:$C$2000,F$4,Sales!$E$2:$E$2000,"Forecast"))</f>
        <v>10</v>
      </c>
      <c r="G65" s="20" t="n">
        <f aca="false">IF(COUNTIFS(Sales!$B$2:$B$2000,$A61,Sales!$C$2:$C$2000,G$4,Sales!$E$2:$E$2000,"Actual")&gt;0,SUMIFS(Sales!$D$2:$D$2000,Sales!$B$2:$B$2000,$A61,Sales!$C$2:$C$2000,G$4,Sales!$E$2:$E$2000,"Actual"),SUMIFS(Sales!$D$2:$D$2000,Sales!$B$2:$B$2000,$A61,Sales!$C$2:$C$2000,G$4,Sales!$E$2:$E$2000,"Forecast"))</f>
        <v>9</v>
      </c>
      <c r="H65" s="20" t="n">
        <f aca="false">IF(COUNTIFS(Sales!$B$2:$B$2000,$A61,Sales!$C$2:$C$2000,H$4,Sales!$E$2:$E$2000,"Actual")&gt;0,SUMIFS(Sales!$D$2:$D$2000,Sales!$B$2:$B$2000,$A61,Sales!$C$2:$C$2000,H$4,Sales!$E$2:$E$2000,"Actual"),SUMIFS(Sales!$D$2:$D$2000,Sales!$B$2:$B$2000,$A61,Sales!$C$2:$C$2000,H$4,Sales!$E$2:$E$2000,"Forecast"))</f>
        <v>8</v>
      </c>
      <c r="I65" s="20" t="n">
        <f aca="false">IF(COUNTIFS(Sales!$B$2:$B$2000,$A61,Sales!$C$2:$C$2000,I$4,Sales!$E$2:$E$2000,"Actual")&gt;0,SUMIFS(Sales!$D$2:$D$2000,Sales!$B$2:$B$2000,$A61,Sales!$C$2:$C$2000,I$4,Sales!$E$2:$E$2000,"Actual"),SUMIFS(Sales!$D$2:$D$2000,Sales!$B$2:$B$2000,$A61,Sales!$C$2:$C$2000,I$4,Sales!$E$2:$E$2000,"Forecast"))</f>
        <v>7</v>
      </c>
      <c r="J65" s="20" t="n">
        <f aca="false">IF(COUNTIFS(Sales!$B$2:$B$2000,$A61,Sales!$C$2:$C$2000,J$4,Sales!$E$2:$E$2000,"Actual")&gt;0,SUMIFS(Sales!$D$2:$D$2000,Sales!$B$2:$B$2000,$A61,Sales!$C$2:$C$2000,J$4,Sales!$E$2:$E$2000,"Actual"),SUMIFS(Sales!$D$2:$D$2000,Sales!$B$2:$B$2000,$A61,Sales!$C$2:$C$2000,J$4,Sales!$E$2:$E$2000,"Forecast"))</f>
        <v>6</v>
      </c>
      <c r="K65" s="20" t="n">
        <f aca="false">IF(COUNTIFS(Sales!$B$2:$B$2000,$A61,Sales!$C$2:$C$2000,K$4,Sales!$E$2:$E$2000,"Actual")&gt;0,SUMIFS(Sales!$D$2:$D$2000,Sales!$B$2:$B$2000,$A61,Sales!$C$2:$C$2000,K$4,Sales!$E$2:$E$2000,"Actual"),SUMIFS(Sales!$D$2:$D$2000,Sales!$B$2:$B$2000,$A61,Sales!$C$2:$C$2000,K$4,Sales!$E$2:$E$2000,"Forecast"))</f>
        <v>6</v>
      </c>
      <c r="L65" s="20" t="n">
        <f aca="false">IF(COUNTIFS(Sales!$B$2:$B$2000,$A61,Sales!$C$2:$C$2000,L$4,Sales!$E$2:$E$2000,"Actual")&gt;0,SUMIFS(Sales!$D$2:$D$2000,Sales!$B$2:$B$2000,$A61,Sales!$C$2:$C$2000,L$4,Sales!$E$2:$E$2000,"Actual"),SUMIFS(Sales!$D$2:$D$2000,Sales!$B$2:$B$2000,$A61,Sales!$C$2:$C$2000,L$4,Sales!$E$2:$E$2000,"Forecast"))</f>
        <v>6</v>
      </c>
      <c r="M65" s="20" t="n">
        <f aca="false">IF(COUNTIFS(Sales!$B$2:$B$2000,$A61,Sales!$C$2:$C$2000,M$4,Sales!$E$2:$E$2000,"Actual")&gt;0,SUMIFS(Sales!$D$2:$D$2000,Sales!$B$2:$B$2000,$A61,Sales!$C$2:$C$2000,M$4,Sales!$E$2:$E$2000,"Actual"),SUMIFS(Sales!$D$2:$D$2000,Sales!$B$2:$B$2000,$A61,Sales!$C$2:$C$2000,M$4,Sales!$E$2:$E$2000,"Forecast"))</f>
        <v>8</v>
      </c>
      <c r="N65" s="20" t="n">
        <f aca="false">IF(COUNTIFS(Sales!$B$2:$B$2000,$A61,Sales!$C$2:$C$2000,N$4,Sales!$E$2:$E$2000,"Actual")&gt;0,SUMIFS(Sales!$D$2:$D$2000,Sales!$B$2:$B$2000,$A61,Sales!$C$2:$C$2000,N$4,Sales!$E$2:$E$2000,"Actual"),SUMIFS(Sales!$D$2:$D$2000,Sales!$B$2:$B$2000,$A61,Sales!$C$2:$C$2000,N$4,Sales!$E$2:$E$2000,"Forecast"))</f>
        <v>8</v>
      </c>
      <c r="O65" s="22" t="n">
        <f aca="false">IF(COUNTIFS(Sales!$B$2:$B$2000,$A61,Sales!$C$2:$C$2000,O$4,Sales!$E$2:$E$2000,"Actual")&gt;0,SUMIFS(Sales!$D$2:$D$2000,Sales!$B$2:$B$2000,$A61,Sales!$C$2:$C$2000,O$4,Sales!$E$2:$E$2000,"Actual"),SUMIFS(Sales!$D$2:$D$2000,Sales!$B$2:$B$2000,$A61,Sales!$C$2:$C$2000,O$4,Sales!$E$2:$E$2000,"Forecast"))</f>
        <v>8</v>
      </c>
      <c r="P65" s="22" t="n">
        <f aca="false">IF(COUNTIFS(Sales!$B$2:$B$2000,$A61,Sales!$C$2:$C$2000,P$4,Sales!$E$2:$E$2000,"Actual")&gt;0,SUMIFS(Sales!$D$2:$D$2000,Sales!$B$2:$B$2000,$A61,Sales!$C$2:$C$2000,P$4,Sales!$E$2:$E$2000,"Actual"),SUMIFS(Sales!$D$2:$D$2000,Sales!$B$2:$B$2000,$A61,Sales!$C$2:$C$2000,P$4,Sales!$E$2:$E$2000,"Forecast"))</f>
        <v>9</v>
      </c>
      <c r="Q65" s="22" t="n">
        <f aca="false">IF(COUNTIFS(Sales!$B$2:$B$2000,$A61,Sales!$C$2:$C$2000,Q$4,Sales!$E$2:$E$2000,"Actual")&gt;0,SUMIFS(Sales!$D$2:$D$2000,Sales!$B$2:$B$2000,$A61,Sales!$C$2:$C$2000,Q$4,Sales!$E$2:$E$2000,"Actual"),SUMIFS(Sales!$D$2:$D$2000,Sales!$B$2:$B$2000,$A61,Sales!$C$2:$C$2000,Q$4,Sales!$E$2:$E$2000,"Forecast"))</f>
        <v>8</v>
      </c>
    </row>
    <row r="66" customFormat="false" ht="15" hidden="false" customHeight="false" outlineLevel="0" collapsed="false">
      <c r="A66" s="16" t="str">
        <f aca="false">$A$61</f>
        <v>Outer Banks</v>
      </c>
      <c r="B66" s="5" t="s">
        <v>53</v>
      </c>
      <c r="C66" s="23" t="n">
        <f aca="false">C62+C63+C64-C65</f>
        <v>19</v>
      </c>
      <c r="D66" s="23" t="n">
        <f aca="false">D62+D63+D64-D65</f>
        <v>19</v>
      </c>
      <c r="E66" s="23" t="n">
        <f aca="false">E62+E63+E64-E65</f>
        <v>19</v>
      </c>
      <c r="F66" s="23" t="n">
        <f aca="false">F62+F63+F64-F65</f>
        <v>16</v>
      </c>
      <c r="G66" s="23" t="n">
        <f aca="false">G62+G63+G64-G65</f>
        <v>14</v>
      </c>
      <c r="H66" s="23" t="n">
        <f aca="false">H62+H63+H64-H65</f>
        <v>13</v>
      </c>
      <c r="I66" s="23" t="n">
        <f aca="false">I62+I63+I64-I65</f>
        <v>12</v>
      </c>
      <c r="J66" s="23" t="n">
        <f aca="false">J62+J63+J64-J65</f>
        <v>14</v>
      </c>
      <c r="K66" s="23" t="n">
        <f aca="false">K62+K63+K64-K65</f>
        <v>15</v>
      </c>
      <c r="L66" s="23" t="n">
        <f aca="false">L62+L63+L64-L65</f>
        <v>16</v>
      </c>
      <c r="M66" s="23" t="n">
        <f aca="false">M62+M63+M64-M65</f>
        <v>17</v>
      </c>
      <c r="N66" s="23" t="n">
        <f aca="false">N62+N63+N64-N65</f>
        <v>17</v>
      </c>
    </row>
    <row r="67" customFormat="false" ht="15" hidden="false" customHeight="false" outlineLevel="0" collapsed="false">
      <c r="A67" s="16" t="str">
        <f aca="false">$A$61</f>
        <v>Outer Banks</v>
      </c>
      <c r="B67" s="8" t="s">
        <v>54</v>
      </c>
      <c r="C67" s="10" t="n">
        <f aca="false">AVERAGE(D65:F65)</f>
        <v>9</v>
      </c>
      <c r="D67" s="10" t="n">
        <f aca="false">AVERAGE(E65:G65)</f>
        <v>9</v>
      </c>
      <c r="E67" s="10" t="n">
        <f aca="false">AVERAGE(F65:H65)</f>
        <v>9</v>
      </c>
      <c r="F67" s="10" t="n">
        <f aca="false">AVERAGE(G65:I65)</f>
        <v>8</v>
      </c>
      <c r="G67" s="10" t="n">
        <f aca="false">AVERAGE(H65:J65)</f>
        <v>7</v>
      </c>
      <c r="H67" s="10" t="n">
        <f aca="false">AVERAGE(I65:K65)</f>
        <v>6.33333333333333</v>
      </c>
      <c r="I67" s="10" t="n">
        <f aca="false">AVERAGE(J65:L65)</f>
        <v>6</v>
      </c>
      <c r="J67" s="10" t="n">
        <f aca="false">AVERAGE(K65:M65)</f>
        <v>6.66666666666667</v>
      </c>
      <c r="K67" s="10" t="n">
        <f aca="false">AVERAGE(L65:N65)</f>
        <v>7.33333333333333</v>
      </c>
      <c r="L67" s="10" t="n">
        <f aca="false">AVERAGE(M65:O65)</f>
        <v>8</v>
      </c>
      <c r="M67" s="10" t="n">
        <f aca="false">AVERAGE(N65:P65)</f>
        <v>8.33333333333333</v>
      </c>
      <c r="N67" s="10" t="n">
        <f aca="false">AVERAGE(O65:Q65)</f>
        <v>8.33333333333333</v>
      </c>
    </row>
    <row r="68" customFormat="false" ht="15" hidden="false" customHeight="false" outlineLevel="0" collapsed="false">
      <c r="A68" s="16" t="str">
        <f aca="false">$A$61</f>
        <v>Outer Banks</v>
      </c>
      <c r="B68" s="8" t="s">
        <v>55</v>
      </c>
      <c r="C68" s="10" t="n">
        <f aca="false">$D$61*C67</f>
        <v>18</v>
      </c>
      <c r="D68" s="10" t="n">
        <f aca="false">$D$61*D67</f>
        <v>18</v>
      </c>
      <c r="E68" s="10" t="n">
        <f aca="false">$D$61*E67</f>
        <v>18</v>
      </c>
      <c r="F68" s="10" t="n">
        <f aca="false">$D$61*F67</f>
        <v>16</v>
      </c>
      <c r="G68" s="10" t="n">
        <f aca="false">$D$61*G67</f>
        <v>14</v>
      </c>
      <c r="H68" s="10" t="n">
        <f aca="false">$D$61*H67</f>
        <v>12.6666666666667</v>
      </c>
      <c r="I68" s="10" t="n">
        <f aca="false">$D$61*I67</f>
        <v>12</v>
      </c>
      <c r="J68" s="10" t="n">
        <f aca="false">$D$61*J67</f>
        <v>13.3333333333333</v>
      </c>
      <c r="K68" s="10" t="n">
        <f aca="false">$D$61*K67</f>
        <v>14.6666666666667</v>
      </c>
      <c r="L68" s="10" t="n">
        <f aca="false">$D$61*L67</f>
        <v>16</v>
      </c>
      <c r="M68" s="10" t="n">
        <f aca="false">$D$61*M67</f>
        <v>16.6666666666667</v>
      </c>
      <c r="N68" s="10" t="n">
        <f aca="false">$D$61*N67</f>
        <v>16.6666666666667</v>
      </c>
    </row>
    <row r="69" customFormat="false" ht="15" hidden="false" customHeight="false" outlineLevel="0" collapsed="false">
      <c r="A69" s="16" t="str">
        <f aca="false">$A$61</f>
        <v>Outer Banks</v>
      </c>
      <c r="B69" s="5" t="s">
        <v>56</v>
      </c>
      <c r="C69" s="10" t="n">
        <f aca="false">IFERROR(C66/C67,"")</f>
        <v>2.11111111111111</v>
      </c>
      <c r="D69" s="10" t="n">
        <f aca="false">IFERROR(D66/D67,"")</f>
        <v>2.11111111111111</v>
      </c>
      <c r="E69" s="10" t="n">
        <f aca="false">IFERROR(E66/E67,"")</f>
        <v>2.11111111111111</v>
      </c>
      <c r="F69" s="10" t="n">
        <f aca="false">IFERROR(F66/F67,"")</f>
        <v>2</v>
      </c>
      <c r="G69" s="10" t="n">
        <f aca="false">IFERROR(G66/G67,"")</f>
        <v>2</v>
      </c>
      <c r="H69" s="10" t="n">
        <f aca="false">IFERROR(H66/H67,"")</f>
        <v>2.05263157894737</v>
      </c>
      <c r="I69" s="10" t="n">
        <f aca="false">IFERROR(I66/I67,"")</f>
        <v>2</v>
      </c>
      <c r="J69" s="10" t="n">
        <f aca="false">IFERROR(J66/J67,"")</f>
        <v>2.1</v>
      </c>
      <c r="K69" s="10" t="n">
        <f aca="false">IFERROR(K66/K67,"")</f>
        <v>2.04545454545455</v>
      </c>
      <c r="L69" s="10" t="n">
        <f aca="false">IFERROR(L66/L67,"")</f>
        <v>2</v>
      </c>
      <c r="M69" s="10" t="n">
        <f aca="false">IFERROR(M66/M67,"")</f>
        <v>2.04</v>
      </c>
      <c r="N69" s="10" t="n">
        <f aca="false">IFERROR(N66/N67,"")</f>
        <v>2.04</v>
      </c>
    </row>
    <row r="70" customFormat="false" ht="15" hidden="false" customHeight="false" outlineLevel="0" collapsed="false">
      <c r="A70" s="16" t="str">
        <f aca="false">$A$61</f>
        <v>Outer Banks</v>
      </c>
      <c r="B70" s="5" t="s">
        <v>57</v>
      </c>
      <c r="C70" s="23" t="n">
        <f aca="false">IF(C$3+$F$61&lt;=12,INDEX($C$64:$N$64,C$3+$F$61),"")</f>
        <v>7</v>
      </c>
      <c r="D70" s="23" t="n">
        <f aca="false">IF(D$3+$F$61&lt;=12,INDEX($C$64:$N$64,D$3+$F$61),"")</f>
        <v>7</v>
      </c>
      <c r="E70" s="23" t="n">
        <f aca="false">IF(E$3+$F$61&lt;=12,INDEX($C$64:$N$64,E$3+$F$61),"")</f>
        <v>7</v>
      </c>
      <c r="F70" s="23" t="n">
        <f aca="false">IF(F$3+$F$61&lt;=12,INDEX($C$64:$N$64,F$3+$F$61),"")</f>
        <v>6</v>
      </c>
      <c r="G70" s="23" t="n">
        <f aca="false">IF(G$3+$F$61&lt;=12,INDEX($C$64:$N$64,G$3+$F$61),"")</f>
        <v>8</v>
      </c>
      <c r="H70" s="23" t="n">
        <f aca="false">IF(H$3+$F$61&lt;=12,INDEX($C$64:$N$64,H$3+$F$61),"")</f>
        <v>7</v>
      </c>
      <c r="I70" s="23" t="n">
        <f aca="false">IF(I$3+$F$61&lt;=12,INDEX($C$64:$N$64,I$3+$F$61),"")</f>
        <v>7</v>
      </c>
      <c r="J70" s="23" t="n">
        <f aca="false">IF(J$3+$F$61&lt;=12,INDEX($C$64:$N$64,J$3+$F$61),"")</f>
        <v>9</v>
      </c>
      <c r="K70" s="23" t="n">
        <f aca="false">IF(K$3+$F$61&lt;=12,INDEX($C$64:$N$64,K$3+$F$61),"")</f>
        <v>8</v>
      </c>
      <c r="L70" s="23" t="str">
        <f aca="false">IF(L$3+$F$61&lt;=12,INDEX($C$64:$N$64,L$3+$F$61),"")</f>
        <v/>
      </c>
      <c r="M70" s="23" t="str">
        <f aca="false">IF(M$3+$F$61&lt;=12,INDEX($C$64:$N$64,M$3+$F$61),"")</f>
        <v/>
      </c>
      <c r="N70" s="23" t="str">
        <f aca="false">IF(N$3+$F$61&lt;=12,INDEX($C$64:$N$64,N$3+$F$61),"")</f>
        <v/>
      </c>
    </row>
    <row r="72" customFormat="false" ht="15" hidden="false" customHeight="false" outlineLevel="0" collapsed="false">
      <c r="A72" s="18" t="str">
        <f aca="false">INDEX(Settings!$B$2:$B$100,7)</f>
        <v>Badlands</v>
      </c>
      <c r="B72" s="18" t="str">
        <f aca="false">INDEX(Settings!$A$2:$A$100,7)&amp;" - "&amp;A72</f>
        <v>Bronco - Badlands</v>
      </c>
      <c r="C72" s="18" t="s">
        <v>39</v>
      </c>
      <c r="D72" s="18" t="n">
        <f aca="false">INDEX(Settings!$C$2:$C$100,MATCH($A72,Settings!$B$2:$B$100,0))</f>
        <v>2</v>
      </c>
      <c r="E72" s="18" t="s">
        <v>48</v>
      </c>
      <c r="F72" s="18" t="n">
        <f aca="false">INDEX(Settings!$D$2:$D$100,MATCH($A72,Settings!$B$2:$B$100,0))</f>
        <v>3</v>
      </c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</row>
    <row r="73" customFormat="false" ht="15" hidden="false" customHeight="false" outlineLevel="0" collapsed="false">
      <c r="A73" s="16" t="str">
        <f aca="false">$A$72</f>
        <v>Badlands</v>
      </c>
      <c r="B73" s="8" t="s">
        <v>49</v>
      </c>
      <c r="C73" s="20" t="n">
        <f aca="false">SUMIFS('Opening Stock'!$D$2:$D$1000,'Opening Stock'!$B$2:$B$1000,$A72)</f>
        <v>9</v>
      </c>
      <c r="D73" s="20" t="n">
        <f aca="false">C77</f>
        <v>12</v>
      </c>
      <c r="E73" s="20" t="n">
        <f aca="false">D77</f>
        <v>12</v>
      </c>
      <c r="F73" s="20" t="n">
        <f aca="false">E77</f>
        <v>17</v>
      </c>
      <c r="G73" s="20" t="n">
        <f aca="false">F77</f>
        <v>14</v>
      </c>
      <c r="H73" s="20" t="n">
        <f aca="false">G77</f>
        <v>13</v>
      </c>
      <c r="I73" s="20" t="n">
        <f aca="false">H77</f>
        <v>12</v>
      </c>
      <c r="J73" s="20" t="n">
        <f aca="false">I77</f>
        <v>12</v>
      </c>
      <c r="K73" s="20" t="n">
        <f aca="false">J77</f>
        <v>12</v>
      </c>
      <c r="L73" s="20" t="n">
        <f aca="false">K77</f>
        <v>14</v>
      </c>
      <c r="M73" s="20" t="n">
        <f aca="false">L77</f>
        <v>14</v>
      </c>
      <c r="N73" s="20" t="n">
        <f aca="false">M77</f>
        <v>15</v>
      </c>
    </row>
    <row r="74" customFormat="false" ht="15" hidden="false" customHeight="false" outlineLevel="0" collapsed="false">
      <c r="A74" s="16" t="str">
        <f aca="false">$A$72</f>
        <v>Badlands</v>
      </c>
      <c r="B74" s="8" t="s">
        <v>50</v>
      </c>
      <c r="C74" s="20" t="n">
        <f aca="false">SUMIFS(Orders!$E$2:$E$2000,Orders!$C$2:$C$2000,$A72,Orders!$H$2:$H$2000,C$4)</f>
        <v>10</v>
      </c>
      <c r="D74" s="20" t="n">
        <f aca="false">SUMIFS(Orders!$E$2:$E$2000,Orders!$C$2:$C$2000,$A72,Orders!$H$2:$H$2000,D$4)</f>
        <v>8</v>
      </c>
      <c r="E74" s="20" t="n">
        <f aca="false">SUMIFS(Orders!$E$2:$E$2000,Orders!$C$2:$C$2000,$A72,Orders!$H$2:$H$2000,E$4)</f>
        <v>12</v>
      </c>
      <c r="F74" s="20" t="n">
        <f aca="false">SUMIFS(Orders!$E$2:$E$2000,Orders!$C$2:$C$2000,$A72,Orders!$H$2:$H$2000,F$4)</f>
        <v>0</v>
      </c>
      <c r="G74" s="20" t="n">
        <f aca="false">SUMIFS(Orders!$E$2:$E$2000,Orders!$C$2:$C$2000,$A72,Orders!$H$2:$H$2000,G$4)</f>
        <v>0</v>
      </c>
      <c r="H74" s="20" t="n">
        <f aca="false">SUMIFS(Orders!$E$2:$E$2000,Orders!$C$2:$C$2000,$A72,Orders!$H$2:$H$2000,H$4)</f>
        <v>0</v>
      </c>
      <c r="I74" s="20" t="n">
        <f aca="false">SUMIFS(Orders!$E$2:$E$2000,Orders!$C$2:$C$2000,$A72,Orders!$H$2:$H$2000,I$4)</f>
        <v>0</v>
      </c>
      <c r="J74" s="20" t="n">
        <f aca="false">SUMIFS(Orders!$E$2:$E$2000,Orders!$C$2:$C$2000,$A72,Orders!$H$2:$H$2000,J$4)</f>
        <v>0</v>
      </c>
      <c r="K74" s="20" t="n">
        <f aca="false">SUMIFS(Orders!$E$2:$E$2000,Orders!$C$2:$C$2000,$A72,Orders!$H$2:$H$2000,K$4)</f>
        <v>0</v>
      </c>
      <c r="L74" s="20" t="n">
        <f aca="false">SUMIFS(Orders!$E$2:$E$2000,Orders!$C$2:$C$2000,$A72,Orders!$H$2:$H$2000,L$4)</f>
        <v>0</v>
      </c>
      <c r="M74" s="20" t="n">
        <f aca="false">SUMIFS(Orders!$E$2:$E$2000,Orders!$C$2:$C$2000,$A72,Orders!$H$2:$H$2000,M$4)</f>
        <v>0</v>
      </c>
      <c r="N74" s="20" t="n">
        <f aca="false">SUMIFS(Orders!$E$2:$E$2000,Orders!$C$2:$C$2000,$A72,Orders!$H$2:$H$2000,N$4)</f>
        <v>0</v>
      </c>
    </row>
    <row r="75" customFormat="false" ht="15" hidden="false" customHeight="false" outlineLevel="0" collapsed="false">
      <c r="A75" s="16" t="str">
        <f aca="false">$A$72</f>
        <v>Badlands</v>
      </c>
      <c r="B75" s="8" t="s">
        <v>51</v>
      </c>
      <c r="C75" s="21" t="n">
        <f aca="false">IF(C$3&lt;=$F$72,0,MAX(0,ROUNDUP(C79-(C73+C74-C76),0)))</f>
        <v>0</v>
      </c>
      <c r="D75" s="21" t="n">
        <f aca="false">IF(D$3&lt;=$F$72,0,MAX(0,ROUNDUP(D79-(D73+D74-D76),0)))</f>
        <v>0</v>
      </c>
      <c r="E75" s="21" t="n">
        <f aca="false">IF(E$3&lt;=$F$72,0,MAX(0,ROUNDUP(E79-(E73+E74-E76),0)))</f>
        <v>0</v>
      </c>
      <c r="F75" s="20" t="n">
        <f aca="false">IF(F$3&lt;=$F$72,0,MAX(0,ROUNDUP(F79-(F73+F74-F76),0)))</f>
        <v>5</v>
      </c>
      <c r="G75" s="20" t="n">
        <f aca="false">IF(G$3&lt;=$F$72,0,MAX(0,ROUNDUP(G79-(G73+G74-G76),0)))</f>
        <v>7</v>
      </c>
      <c r="H75" s="20" t="n">
        <f aca="false">IF(H$3&lt;=$F$72,0,MAX(0,ROUNDUP(H79-(H73+H74-H76),0)))</f>
        <v>6</v>
      </c>
      <c r="I75" s="20" t="n">
        <f aca="false">IF(I$3&lt;=$F$72,0,MAX(0,ROUNDUP(I79-(I73+I74-I76),0)))</f>
        <v>6</v>
      </c>
      <c r="J75" s="20" t="n">
        <f aca="false">IF(J$3&lt;=$F$72,0,MAX(0,ROUNDUP(J79-(J73+J74-J76),0)))</f>
        <v>6</v>
      </c>
      <c r="K75" s="20" t="n">
        <f aca="false">IF(K$3&lt;=$F$72,0,MAX(0,ROUNDUP(K79-(K73+K74-K76),0)))</f>
        <v>7</v>
      </c>
      <c r="L75" s="20" t="n">
        <f aca="false">IF(L$3&lt;=$F$72,0,MAX(0,ROUNDUP(L79-(L73+L74-L76),0)))</f>
        <v>6</v>
      </c>
      <c r="M75" s="20" t="n">
        <f aca="false">IF(M$3&lt;=$F$72,0,MAX(0,ROUNDUP(M79-(M73+M74-M76),0)))</f>
        <v>8</v>
      </c>
      <c r="N75" s="20" t="n">
        <f aca="false">IF(N$3&lt;=$F$72,0,MAX(0,ROUNDUP(N79-(N73+N74-N76),0)))</f>
        <v>7</v>
      </c>
    </row>
    <row r="76" customFormat="false" ht="15" hidden="false" customHeight="false" outlineLevel="0" collapsed="false">
      <c r="A76" s="16" t="str">
        <f aca="false">$A$72</f>
        <v>Badlands</v>
      </c>
      <c r="B76" s="8" t="s">
        <v>52</v>
      </c>
      <c r="C76" s="20" t="n">
        <f aca="false">IF(COUNTIFS(Sales!$B$2:$B$2000,$A72,Sales!$C$2:$C$2000,C$4,Sales!$E$2:$E$2000,"Actual")&gt;0,SUMIFS(Sales!$D$2:$D$2000,Sales!$B$2:$B$2000,$A72,Sales!$C$2:$C$2000,C$4,Sales!$E$2:$E$2000,"Actual"),SUMIFS(Sales!$D$2:$D$2000,Sales!$B$2:$B$2000,$A72,Sales!$C$2:$C$2000,C$4,Sales!$E$2:$E$2000,"Forecast"))</f>
        <v>7</v>
      </c>
      <c r="D76" s="20" t="n">
        <f aca="false">IF(COUNTIFS(Sales!$B$2:$B$2000,$A72,Sales!$C$2:$C$2000,D$4,Sales!$E$2:$E$2000,"Actual")&gt;0,SUMIFS(Sales!$D$2:$D$2000,Sales!$B$2:$B$2000,$A72,Sales!$C$2:$C$2000,D$4,Sales!$E$2:$E$2000,"Actual"),SUMIFS(Sales!$D$2:$D$2000,Sales!$B$2:$B$2000,$A72,Sales!$C$2:$C$2000,D$4,Sales!$E$2:$E$2000,"Forecast"))</f>
        <v>8</v>
      </c>
      <c r="E76" s="20" t="n">
        <f aca="false">IF(COUNTIFS(Sales!$B$2:$B$2000,$A72,Sales!$C$2:$C$2000,E$4,Sales!$E$2:$E$2000,"Actual")&gt;0,SUMIFS(Sales!$D$2:$D$2000,Sales!$B$2:$B$2000,$A72,Sales!$C$2:$C$2000,E$4,Sales!$E$2:$E$2000,"Actual"),SUMIFS(Sales!$D$2:$D$2000,Sales!$B$2:$B$2000,$A72,Sales!$C$2:$C$2000,E$4,Sales!$E$2:$E$2000,"Forecast"))</f>
        <v>7</v>
      </c>
      <c r="F76" s="20" t="n">
        <f aca="false">IF(COUNTIFS(Sales!$B$2:$B$2000,$A72,Sales!$C$2:$C$2000,F$4,Sales!$E$2:$E$2000,"Actual")&gt;0,SUMIFS(Sales!$D$2:$D$2000,Sales!$B$2:$B$2000,$A72,Sales!$C$2:$C$2000,F$4,Sales!$E$2:$E$2000,"Actual"),SUMIFS(Sales!$D$2:$D$2000,Sales!$B$2:$B$2000,$A72,Sales!$C$2:$C$2000,F$4,Sales!$E$2:$E$2000,"Forecast"))</f>
        <v>8</v>
      </c>
      <c r="G76" s="20" t="n">
        <f aca="false">IF(COUNTIFS(Sales!$B$2:$B$2000,$A72,Sales!$C$2:$C$2000,G$4,Sales!$E$2:$E$2000,"Actual")&gt;0,SUMIFS(Sales!$D$2:$D$2000,Sales!$B$2:$B$2000,$A72,Sales!$C$2:$C$2000,G$4,Sales!$E$2:$E$2000,"Actual"),SUMIFS(Sales!$D$2:$D$2000,Sales!$B$2:$B$2000,$A72,Sales!$C$2:$C$2000,G$4,Sales!$E$2:$E$2000,"Forecast"))</f>
        <v>8</v>
      </c>
      <c r="H76" s="20" t="n">
        <f aca="false">IF(COUNTIFS(Sales!$B$2:$B$2000,$A72,Sales!$C$2:$C$2000,H$4,Sales!$E$2:$E$2000,"Actual")&gt;0,SUMIFS(Sales!$D$2:$D$2000,Sales!$B$2:$B$2000,$A72,Sales!$C$2:$C$2000,H$4,Sales!$E$2:$E$2000,"Actual"),SUMIFS(Sales!$D$2:$D$2000,Sales!$B$2:$B$2000,$A72,Sales!$C$2:$C$2000,H$4,Sales!$E$2:$E$2000,"Forecast"))</f>
        <v>7</v>
      </c>
      <c r="I76" s="20" t="n">
        <f aca="false">IF(COUNTIFS(Sales!$B$2:$B$2000,$A72,Sales!$C$2:$C$2000,I$4,Sales!$E$2:$E$2000,"Actual")&gt;0,SUMIFS(Sales!$D$2:$D$2000,Sales!$B$2:$B$2000,$A72,Sales!$C$2:$C$2000,I$4,Sales!$E$2:$E$2000,"Actual"),SUMIFS(Sales!$D$2:$D$2000,Sales!$B$2:$B$2000,$A72,Sales!$C$2:$C$2000,I$4,Sales!$E$2:$E$2000,"Forecast"))</f>
        <v>6</v>
      </c>
      <c r="J76" s="20" t="n">
        <f aca="false">IF(COUNTIFS(Sales!$B$2:$B$2000,$A72,Sales!$C$2:$C$2000,J$4,Sales!$E$2:$E$2000,"Actual")&gt;0,SUMIFS(Sales!$D$2:$D$2000,Sales!$B$2:$B$2000,$A72,Sales!$C$2:$C$2000,J$4,Sales!$E$2:$E$2000,"Actual"),SUMIFS(Sales!$D$2:$D$2000,Sales!$B$2:$B$2000,$A72,Sales!$C$2:$C$2000,J$4,Sales!$E$2:$E$2000,"Forecast"))</f>
        <v>6</v>
      </c>
      <c r="K76" s="20" t="n">
        <f aca="false">IF(COUNTIFS(Sales!$B$2:$B$2000,$A72,Sales!$C$2:$C$2000,K$4,Sales!$E$2:$E$2000,"Actual")&gt;0,SUMIFS(Sales!$D$2:$D$2000,Sales!$B$2:$B$2000,$A72,Sales!$C$2:$C$2000,K$4,Sales!$E$2:$E$2000,"Actual"),SUMIFS(Sales!$D$2:$D$2000,Sales!$B$2:$B$2000,$A72,Sales!$C$2:$C$2000,K$4,Sales!$E$2:$E$2000,"Forecast"))</f>
        <v>5</v>
      </c>
      <c r="L76" s="20" t="n">
        <f aca="false">IF(COUNTIFS(Sales!$B$2:$B$2000,$A72,Sales!$C$2:$C$2000,L$4,Sales!$E$2:$E$2000,"Actual")&gt;0,SUMIFS(Sales!$D$2:$D$2000,Sales!$B$2:$B$2000,$A72,Sales!$C$2:$C$2000,L$4,Sales!$E$2:$E$2000,"Actual"),SUMIFS(Sales!$D$2:$D$2000,Sales!$B$2:$B$2000,$A72,Sales!$C$2:$C$2000,L$4,Sales!$E$2:$E$2000,"Forecast"))</f>
        <v>6</v>
      </c>
      <c r="M76" s="20" t="n">
        <f aca="false">IF(COUNTIFS(Sales!$B$2:$B$2000,$A72,Sales!$C$2:$C$2000,M$4,Sales!$E$2:$E$2000,"Actual")&gt;0,SUMIFS(Sales!$D$2:$D$2000,Sales!$B$2:$B$2000,$A72,Sales!$C$2:$C$2000,M$4,Sales!$E$2:$E$2000,"Actual"),SUMIFS(Sales!$D$2:$D$2000,Sales!$B$2:$B$2000,$A72,Sales!$C$2:$C$2000,M$4,Sales!$E$2:$E$2000,"Forecast"))</f>
        <v>7</v>
      </c>
      <c r="N76" s="20" t="n">
        <f aca="false">IF(COUNTIFS(Sales!$B$2:$B$2000,$A72,Sales!$C$2:$C$2000,N$4,Sales!$E$2:$E$2000,"Actual")&gt;0,SUMIFS(Sales!$D$2:$D$2000,Sales!$B$2:$B$2000,$A72,Sales!$C$2:$C$2000,N$4,Sales!$E$2:$E$2000,"Actual"),SUMIFS(Sales!$D$2:$D$2000,Sales!$B$2:$B$2000,$A72,Sales!$C$2:$C$2000,N$4,Sales!$E$2:$E$2000,"Forecast"))</f>
        <v>7</v>
      </c>
      <c r="O76" s="22" t="n">
        <f aca="false">IF(COUNTIFS(Sales!$B$2:$B$2000,$A72,Sales!$C$2:$C$2000,O$4,Sales!$E$2:$E$2000,"Actual")&gt;0,SUMIFS(Sales!$D$2:$D$2000,Sales!$B$2:$B$2000,$A72,Sales!$C$2:$C$2000,O$4,Sales!$E$2:$E$2000,"Actual"),SUMIFS(Sales!$D$2:$D$2000,Sales!$B$2:$B$2000,$A72,Sales!$C$2:$C$2000,O$4,Sales!$E$2:$E$2000,"Forecast"))</f>
        <v>7</v>
      </c>
      <c r="P76" s="22" t="n">
        <f aca="false">IF(COUNTIFS(Sales!$B$2:$B$2000,$A72,Sales!$C$2:$C$2000,P$4,Sales!$E$2:$E$2000,"Actual")&gt;0,SUMIFS(Sales!$D$2:$D$2000,Sales!$B$2:$B$2000,$A72,Sales!$C$2:$C$2000,P$4,Sales!$E$2:$E$2000,"Actual"),SUMIFS(Sales!$D$2:$D$2000,Sales!$B$2:$B$2000,$A72,Sales!$C$2:$C$2000,P$4,Sales!$E$2:$E$2000,"Forecast"))</f>
        <v>8</v>
      </c>
      <c r="Q76" s="22" t="n">
        <f aca="false">IF(COUNTIFS(Sales!$B$2:$B$2000,$A72,Sales!$C$2:$C$2000,Q$4,Sales!$E$2:$E$2000,"Actual")&gt;0,SUMIFS(Sales!$D$2:$D$2000,Sales!$B$2:$B$2000,$A72,Sales!$C$2:$C$2000,Q$4,Sales!$E$2:$E$2000,"Actual"),SUMIFS(Sales!$D$2:$D$2000,Sales!$B$2:$B$2000,$A72,Sales!$C$2:$C$2000,Q$4,Sales!$E$2:$E$2000,"Forecast"))</f>
        <v>7</v>
      </c>
    </row>
    <row r="77" customFormat="false" ht="15" hidden="false" customHeight="false" outlineLevel="0" collapsed="false">
      <c r="A77" s="16" t="str">
        <f aca="false">$A$72</f>
        <v>Badlands</v>
      </c>
      <c r="B77" s="5" t="s">
        <v>53</v>
      </c>
      <c r="C77" s="23" t="n">
        <f aca="false">C73+C74+C75-C76</f>
        <v>12</v>
      </c>
      <c r="D77" s="23" t="n">
        <f aca="false">D73+D74+D75-D76</f>
        <v>12</v>
      </c>
      <c r="E77" s="23" t="n">
        <f aca="false">E73+E74+E75-E76</f>
        <v>17</v>
      </c>
      <c r="F77" s="23" t="n">
        <f aca="false">F73+F74+F75-F76</f>
        <v>14</v>
      </c>
      <c r="G77" s="23" t="n">
        <f aca="false">G73+G74+G75-G76</f>
        <v>13</v>
      </c>
      <c r="H77" s="23" t="n">
        <f aca="false">H73+H74+H75-H76</f>
        <v>12</v>
      </c>
      <c r="I77" s="23" t="n">
        <f aca="false">I73+I74+I75-I76</f>
        <v>12</v>
      </c>
      <c r="J77" s="23" t="n">
        <f aca="false">J73+J74+J75-J76</f>
        <v>12</v>
      </c>
      <c r="K77" s="23" t="n">
        <f aca="false">K73+K74+K75-K76</f>
        <v>14</v>
      </c>
      <c r="L77" s="23" t="n">
        <f aca="false">L73+L74+L75-L76</f>
        <v>14</v>
      </c>
      <c r="M77" s="23" t="n">
        <f aca="false">M73+M74+M75-M76</f>
        <v>15</v>
      </c>
      <c r="N77" s="23" t="n">
        <f aca="false">N73+N74+N75-N76</f>
        <v>15</v>
      </c>
    </row>
    <row r="78" customFormat="false" ht="15" hidden="false" customHeight="false" outlineLevel="0" collapsed="false">
      <c r="A78" s="16" t="str">
        <f aca="false">$A$72</f>
        <v>Badlands</v>
      </c>
      <c r="B78" s="8" t="s">
        <v>54</v>
      </c>
      <c r="C78" s="10" t="n">
        <f aca="false">AVERAGE(D76:F76)</f>
        <v>7.66666666666667</v>
      </c>
      <c r="D78" s="10" t="n">
        <f aca="false">AVERAGE(E76:G76)</f>
        <v>7.66666666666667</v>
      </c>
      <c r="E78" s="10" t="n">
        <f aca="false">AVERAGE(F76:H76)</f>
        <v>7.66666666666667</v>
      </c>
      <c r="F78" s="10" t="n">
        <f aca="false">AVERAGE(G76:I76)</f>
        <v>7</v>
      </c>
      <c r="G78" s="10" t="n">
        <f aca="false">AVERAGE(H76:J76)</f>
        <v>6.33333333333333</v>
      </c>
      <c r="H78" s="10" t="n">
        <f aca="false">AVERAGE(I76:K76)</f>
        <v>5.66666666666667</v>
      </c>
      <c r="I78" s="10" t="n">
        <f aca="false">AVERAGE(J76:L76)</f>
        <v>5.66666666666667</v>
      </c>
      <c r="J78" s="10" t="n">
        <f aca="false">AVERAGE(K76:M76)</f>
        <v>6</v>
      </c>
      <c r="K78" s="10" t="n">
        <f aca="false">AVERAGE(L76:N76)</f>
        <v>6.66666666666667</v>
      </c>
      <c r="L78" s="10" t="n">
        <f aca="false">AVERAGE(M76:O76)</f>
        <v>7</v>
      </c>
      <c r="M78" s="10" t="n">
        <f aca="false">AVERAGE(N76:P76)</f>
        <v>7.33333333333333</v>
      </c>
      <c r="N78" s="10" t="n">
        <f aca="false">AVERAGE(O76:Q76)</f>
        <v>7.33333333333333</v>
      </c>
    </row>
    <row r="79" customFormat="false" ht="15" hidden="false" customHeight="false" outlineLevel="0" collapsed="false">
      <c r="A79" s="16" t="str">
        <f aca="false">$A$72</f>
        <v>Badlands</v>
      </c>
      <c r="B79" s="8" t="s">
        <v>55</v>
      </c>
      <c r="C79" s="10" t="n">
        <f aca="false">$D$72*C78</f>
        <v>15.3333333333333</v>
      </c>
      <c r="D79" s="10" t="n">
        <f aca="false">$D$72*D78</f>
        <v>15.3333333333333</v>
      </c>
      <c r="E79" s="10" t="n">
        <f aca="false">$D$72*E78</f>
        <v>15.3333333333333</v>
      </c>
      <c r="F79" s="10" t="n">
        <f aca="false">$D$72*F78</f>
        <v>14</v>
      </c>
      <c r="G79" s="10" t="n">
        <f aca="false">$D$72*G78</f>
        <v>12.6666666666667</v>
      </c>
      <c r="H79" s="10" t="n">
        <f aca="false">$D$72*H78</f>
        <v>11.3333333333333</v>
      </c>
      <c r="I79" s="10" t="n">
        <f aca="false">$D$72*I78</f>
        <v>11.3333333333333</v>
      </c>
      <c r="J79" s="10" t="n">
        <f aca="false">$D$72*J78</f>
        <v>12</v>
      </c>
      <c r="K79" s="10" t="n">
        <f aca="false">$D$72*K78</f>
        <v>13.3333333333333</v>
      </c>
      <c r="L79" s="10" t="n">
        <f aca="false">$D$72*L78</f>
        <v>14</v>
      </c>
      <c r="M79" s="10" t="n">
        <f aca="false">$D$72*M78</f>
        <v>14.6666666666667</v>
      </c>
      <c r="N79" s="10" t="n">
        <f aca="false">$D$72*N78</f>
        <v>14.6666666666667</v>
      </c>
    </row>
    <row r="80" customFormat="false" ht="15" hidden="false" customHeight="false" outlineLevel="0" collapsed="false">
      <c r="A80" s="16" t="str">
        <f aca="false">$A$72</f>
        <v>Badlands</v>
      </c>
      <c r="B80" s="5" t="s">
        <v>56</v>
      </c>
      <c r="C80" s="10" t="n">
        <f aca="false">IFERROR(C77/C78,"")</f>
        <v>1.56521739130435</v>
      </c>
      <c r="D80" s="10" t="n">
        <f aca="false">IFERROR(D77/D78,"")</f>
        <v>1.56521739130435</v>
      </c>
      <c r="E80" s="10" t="n">
        <f aca="false">IFERROR(E77/E78,"")</f>
        <v>2.21739130434783</v>
      </c>
      <c r="F80" s="10" t="n">
        <f aca="false">IFERROR(F77/F78,"")</f>
        <v>2</v>
      </c>
      <c r="G80" s="10" t="n">
        <f aca="false">IFERROR(G77/G78,"")</f>
        <v>2.05263157894737</v>
      </c>
      <c r="H80" s="10" t="n">
        <f aca="false">IFERROR(H77/H78,"")</f>
        <v>2.11764705882353</v>
      </c>
      <c r="I80" s="10" t="n">
        <f aca="false">IFERROR(I77/I78,"")</f>
        <v>2.11764705882353</v>
      </c>
      <c r="J80" s="10" t="n">
        <f aca="false">IFERROR(J77/J78,"")</f>
        <v>2</v>
      </c>
      <c r="K80" s="10" t="n">
        <f aca="false">IFERROR(K77/K78,"")</f>
        <v>2.1</v>
      </c>
      <c r="L80" s="10" t="n">
        <f aca="false">IFERROR(L77/L78,"")</f>
        <v>2</v>
      </c>
      <c r="M80" s="10" t="n">
        <f aca="false">IFERROR(M77/M78,"")</f>
        <v>2.04545454545455</v>
      </c>
      <c r="N80" s="10" t="n">
        <f aca="false">IFERROR(N77/N78,"")</f>
        <v>2.04545454545455</v>
      </c>
    </row>
    <row r="81" customFormat="false" ht="15" hidden="false" customHeight="false" outlineLevel="0" collapsed="false">
      <c r="A81" s="16" t="str">
        <f aca="false">$A$72</f>
        <v>Badlands</v>
      </c>
      <c r="B81" s="5" t="s">
        <v>57</v>
      </c>
      <c r="C81" s="23" t="n">
        <f aca="false">IF(C$3+$F$72&lt;=12,INDEX($C$75:$N$75,C$3+$F$72),"")</f>
        <v>5</v>
      </c>
      <c r="D81" s="23" t="n">
        <f aca="false">IF(D$3+$F$72&lt;=12,INDEX($C$75:$N$75,D$3+$F$72),"")</f>
        <v>7</v>
      </c>
      <c r="E81" s="23" t="n">
        <f aca="false">IF(E$3+$F$72&lt;=12,INDEX($C$75:$N$75,E$3+$F$72),"")</f>
        <v>6</v>
      </c>
      <c r="F81" s="23" t="n">
        <f aca="false">IF(F$3+$F$72&lt;=12,INDEX($C$75:$N$75,F$3+$F$72),"")</f>
        <v>6</v>
      </c>
      <c r="G81" s="23" t="n">
        <f aca="false">IF(G$3+$F$72&lt;=12,INDEX($C$75:$N$75,G$3+$F$72),"")</f>
        <v>6</v>
      </c>
      <c r="H81" s="23" t="n">
        <f aca="false">IF(H$3+$F$72&lt;=12,INDEX($C$75:$N$75,H$3+$F$72),"")</f>
        <v>7</v>
      </c>
      <c r="I81" s="23" t="n">
        <f aca="false">IF(I$3+$F$72&lt;=12,INDEX($C$75:$N$75,I$3+$F$72),"")</f>
        <v>6</v>
      </c>
      <c r="J81" s="23" t="n">
        <f aca="false">IF(J$3+$F$72&lt;=12,INDEX($C$75:$N$75,J$3+$F$72),"")</f>
        <v>8</v>
      </c>
      <c r="K81" s="23" t="n">
        <f aca="false">IF(K$3+$F$72&lt;=12,INDEX($C$75:$N$75,K$3+$F$72),"")</f>
        <v>7</v>
      </c>
      <c r="L81" s="23" t="str">
        <f aca="false">IF(L$3+$F$72&lt;=12,INDEX($C$75:$N$75,L$3+$F$72),"")</f>
        <v/>
      </c>
      <c r="M81" s="23" t="str">
        <f aca="false">IF(M$3+$F$72&lt;=12,INDEX($C$75:$N$75,M$3+$F$72),"")</f>
        <v/>
      </c>
      <c r="N81" s="23" t="str">
        <f aca="false">IF(N$3+$F$72&lt;=12,INDEX($C$75:$N$75,N$3+$F$72),"")</f>
        <v/>
      </c>
    </row>
    <row r="83" customFormat="false" ht="15" hidden="false" customHeight="false" outlineLevel="0" collapsed="false">
      <c r="A83" s="18" t="str">
        <f aca="false">INDEX(Settings!$B$2:$B$100,8)</f>
        <v>Wildtrak</v>
      </c>
      <c r="B83" s="18" t="str">
        <f aca="false">INDEX(Settings!$A$2:$A$100,8)&amp;" - "&amp;A83</f>
        <v>Bronco - Wildtrak</v>
      </c>
      <c r="C83" s="18" t="s">
        <v>39</v>
      </c>
      <c r="D83" s="18" t="n">
        <f aca="false">INDEX(Settings!$C$2:$C$100,MATCH($A83,Settings!$B$2:$B$100,0))</f>
        <v>2</v>
      </c>
      <c r="E83" s="18" t="s">
        <v>48</v>
      </c>
      <c r="F83" s="18" t="n">
        <f aca="false">INDEX(Settings!$D$2:$D$100,MATCH($A83,Settings!$B$2:$B$100,0))</f>
        <v>3</v>
      </c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</row>
    <row r="84" customFormat="false" ht="15" hidden="false" customHeight="false" outlineLevel="0" collapsed="false">
      <c r="A84" s="16" t="str">
        <f aca="false">$A$83</f>
        <v>Wildtrak</v>
      </c>
      <c r="B84" s="8" t="s">
        <v>49</v>
      </c>
      <c r="C84" s="20" t="n">
        <f aca="false">SUMIFS('Opening Stock'!$D$2:$D$1000,'Opening Stock'!$B$2:$B$1000,$A83)</f>
        <v>9</v>
      </c>
      <c r="D84" s="20" t="n">
        <f aca="false">C88</f>
        <v>9</v>
      </c>
      <c r="E84" s="20" t="n">
        <f aca="false">D88</f>
        <v>4</v>
      </c>
      <c r="F84" s="20" t="n">
        <f aca="false">E88</f>
        <v>4</v>
      </c>
      <c r="G84" s="20" t="n">
        <f aca="false">F88</f>
        <v>8</v>
      </c>
      <c r="H84" s="20" t="n">
        <f aca="false">G88</f>
        <v>9</v>
      </c>
      <c r="I84" s="20" t="n">
        <f aca="false">H88</f>
        <v>7</v>
      </c>
      <c r="J84" s="20" t="n">
        <f aca="false">I88</f>
        <v>6</v>
      </c>
      <c r="K84" s="20" t="n">
        <f aca="false">J88</f>
        <v>7</v>
      </c>
      <c r="L84" s="20" t="n">
        <f aca="false">K88</f>
        <v>8</v>
      </c>
      <c r="M84" s="20" t="n">
        <f aca="false">L88</f>
        <v>8</v>
      </c>
      <c r="N84" s="20" t="n">
        <f aca="false">M88</f>
        <v>9</v>
      </c>
    </row>
    <row r="85" customFormat="false" ht="15" hidden="false" customHeight="false" outlineLevel="0" collapsed="false">
      <c r="A85" s="16" t="str">
        <f aca="false">$A$83</f>
        <v>Wildtrak</v>
      </c>
      <c r="B85" s="8" t="s">
        <v>50</v>
      </c>
      <c r="C85" s="20" t="n">
        <f aca="false">SUMIFS(Orders!$E$2:$E$2000,Orders!$C$2:$C$2000,$A83,Orders!$H$2:$H$2000,C$4)</f>
        <v>4</v>
      </c>
      <c r="D85" s="20" t="n">
        <f aca="false">SUMIFS(Orders!$E$2:$E$2000,Orders!$C$2:$C$2000,$A83,Orders!$H$2:$H$2000,D$4)</f>
        <v>0</v>
      </c>
      <c r="E85" s="20" t="n">
        <f aca="false">SUMIFS(Orders!$E$2:$E$2000,Orders!$C$2:$C$2000,$A83,Orders!$H$2:$H$2000,E$4)</f>
        <v>4</v>
      </c>
      <c r="F85" s="20" t="n">
        <f aca="false">SUMIFS(Orders!$E$2:$E$2000,Orders!$C$2:$C$2000,$A83,Orders!$H$2:$H$2000,F$4)</f>
        <v>0</v>
      </c>
      <c r="G85" s="20" t="n">
        <f aca="false">SUMIFS(Orders!$E$2:$E$2000,Orders!$C$2:$C$2000,$A83,Orders!$H$2:$H$2000,G$4)</f>
        <v>5</v>
      </c>
      <c r="H85" s="20" t="n">
        <f aca="false">SUMIFS(Orders!$E$2:$E$2000,Orders!$C$2:$C$2000,$A83,Orders!$H$2:$H$2000,H$4)</f>
        <v>0</v>
      </c>
      <c r="I85" s="20" t="n">
        <f aca="false">SUMIFS(Orders!$E$2:$E$2000,Orders!$C$2:$C$2000,$A83,Orders!$H$2:$H$2000,I$4)</f>
        <v>0</v>
      </c>
      <c r="J85" s="20" t="n">
        <f aca="false">SUMIFS(Orders!$E$2:$E$2000,Orders!$C$2:$C$2000,$A83,Orders!$H$2:$H$2000,J$4)</f>
        <v>0</v>
      </c>
      <c r="K85" s="20" t="n">
        <f aca="false">SUMIFS(Orders!$E$2:$E$2000,Orders!$C$2:$C$2000,$A83,Orders!$H$2:$H$2000,K$4)</f>
        <v>0</v>
      </c>
      <c r="L85" s="20" t="n">
        <f aca="false">SUMIFS(Orders!$E$2:$E$2000,Orders!$C$2:$C$2000,$A83,Orders!$H$2:$H$2000,L$4)</f>
        <v>0</v>
      </c>
      <c r="M85" s="20" t="n">
        <f aca="false">SUMIFS(Orders!$E$2:$E$2000,Orders!$C$2:$C$2000,$A83,Orders!$H$2:$H$2000,M$4)</f>
        <v>0</v>
      </c>
      <c r="N85" s="20" t="n">
        <f aca="false">SUMIFS(Orders!$E$2:$E$2000,Orders!$C$2:$C$2000,$A83,Orders!$H$2:$H$2000,N$4)</f>
        <v>0</v>
      </c>
    </row>
    <row r="86" customFormat="false" ht="15" hidden="false" customHeight="false" outlineLevel="0" collapsed="false">
      <c r="A86" s="16" t="str">
        <f aca="false">$A$83</f>
        <v>Wildtrak</v>
      </c>
      <c r="B86" s="8" t="s">
        <v>51</v>
      </c>
      <c r="C86" s="21" t="n">
        <f aca="false">IF(C$3&lt;=$F$83,0,MAX(0,ROUNDUP(C90-(C84+C85-C87),0)))</f>
        <v>0</v>
      </c>
      <c r="D86" s="21" t="n">
        <f aca="false">IF(D$3&lt;=$F$83,0,MAX(0,ROUNDUP(D90-(D84+D85-D87),0)))</f>
        <v>0</v>
      </c>
      <c r="E86" s="21" t="n">
        <f aca="false">IF(E$3&lt;=$F$83,0,MAX(0,ROUNDUP(E90-(E84+E85-E87),0)))</f>
        <v>0</v>
      </c>
      <c r="F86" s="20" t="n">
        <f aca="false">IF(F$3&lt;=$F$83,0,MAX(0,ROUNDUP(F90-(F84+F85-F87),0)))</f>
        <v>9</v>
      </c>
      <c r="G86" s="20" t="n">
        <f aca="false">IF(G$3&lt;=$F$83,0,MAX(0,ROUNDUP(G90-(G84+G85-G87),0)))</f>
        <v>0</v>
      </c>
      <c r="H86" s="20" t="n">
        <f aca="false">IF(H$3&lt;=$F$83,0,MAX(0,ROUNDUP(H90-(H84+H85-H87),0)))</f>
        <v>2</v>
      </c>
      <c r="I86" s="20" t="n">
        <f aca="false">IF(I$3&lt;=$F$83,0,MAX(0,ROUNDUP(I90-(I84+I85-I87),0)))</f>
        <v>3</v>
      </c>
      <c r="J86" s="20" t="n">
        <f aca="false">IF(J$3&lt;=$F$83,0,MAX(0,ROUNDUP(J90-(J84+J85-J87),0)))</f>
        <v>4</v>
      </c>
      <c r="K86" s="20" t="n">
        <f aca="false">IF(K$3&lt;=$F$83,0,MAX(0,ROUNDUP(K90-(K84+K85-K87),0)))</f>
        <v>4</v>
      </c>
      <c r="L86" s="20" t="n">
        <f aca="false">IF(L$3&lt;=$F$83,0,MAX(0,ROUNDUP(L90-(L84+L85-L87),0)))</f>
        <v>3</v>
      </c>
      <c r="M86" s="20" t="n">
        <f aca="false">IF(M$3&lt;=$F$83,0,MAX(0,ROUNDUP(M90-(M84+M85-M87),0)))</f>
        <v>5</v>
      </c>
      <c r="N86" s="20" t="n">
        <f aca="false">IF(N$3&lt;=$F$83,0,MAX(0,ROUNDUP(N90-(N84+N85-N87),0)))</f>
        <v>4</v>
      </c>
    </row>
    <row r="87" customFormat="false" ht="15" hidden="false" customHeight="false" outlineLevel="0" collapsed="false">
      <c r="A87" s="16" t="str">
        <f aca="false">$A$83</f>
        <v>Wildtrak</v>
      </c>
      <c r="B87" s="8" t="s">
        <v>52</v>
      </c>
      <c r="C87" s="20" t="n">
        <f aca="false">IF(COUNTIFS(Sales!$B$2:$B$2000,$A83,Sales!$C$2:$C$2000,C$4,Sales!$E$2:$E$2000,"Actual")&gt;0,SUMIFS(Sales!$D$2:$D$2000,Sales!$B$2:$B$2000,$A83,Sales!$C$2:$C$2000,C$4,Sales!$E$2:$E$2000,"Actual"),SUMIFS(Sales!$D$2:$D$2000,Sales!$B$2:$B$2000,$A83,Sales!$C$2:$C$2000,C$4,Sales!$E$2:$E$2000,"Forecast"))</f>
        <v>4</v>
      </c>
      <c r="D87" s="20" t="n">
        <f aca="false">IF(COUNTIFS(Sales!$B$2:$B$2000,$A83,Sales!$C$2:$C$2000,D$4,Sales!$E$2:$E$2000,"Actual")&gt;0,SUMIFS(Sales!$D$2:$D$2000,Sales!$B$2:$B$2000,$A83,Sales!$C$2:$C$2000,D$4,Sales!$E$2:$E$2000,"Actual"),SUMIFS(Sales!$D$2:$D$2000,Sales!$B$2:$B$2000,$A83,Sales!$C$2:$C$2000,D$4,Sales!$E$2:$E$2000,"Forecast"))</f>
        <v>5</v>
      </c>
      <c r="E87" s="20" t="n">
        <f aca="false">IF(COUNTIFS(Sales!$B$2:$B$2000,$A83,Sales!$C$2:$C$2000,E$4,Sales!$E$2:$E$2000,"Actual")&gt;0,SUMIFS(Sales!$D$2:$D$2000,Sales!$B$2:$B$2000,$A83,Sales!$C$2:$C$2000,E$4,Sales!$E$2:$E$2000,"Actual"),SUMIFS(Sales!$D$2:$D$2000,Sales!$B$2:$B$2000,$A83,Sales!$C$2:$C$2000,E$4,Sales!$E$2:$E$2000,"Forecast"))</f>
        <v>4</v>
      </c>
      <c r="F87" s="20" t="n">
        <f aca="false">IF(COUNTIFS(Sales!$B$2:$B$2000,$A83,Sales!$C$2:$C$2000,F$4,Sales!$E$2:$E$2000,"Actual")&gt;0,SUMIFS(Sales!$D$2:$D$2000,Sales!$B$2:$B$2000,$A83,Sales!$C$2:$C$2000,F$4,Sales!$E$2:$E$2000,"Actual"),SUMIFS(Sales!$D$2:$D$2000,Sales!$B$2:$B$2000,$A83,Sales!$C$2:$C$2000,F$4,Sales!$E$2:$E$2000,"Forecast"))</f>
        <v>5</v>
      </c>
      <c r="G87" s="20" t="n">
        <f aca="false">IF(COUNTIFS(Sales!$B$2:$B$2000,$A83,Sales!$C$2:$C$2000,G$4,Sales!$E$2:$E$2000,"Actual")&gt;0,SUMIFS(Sales!$D$2:$D$2000,Sales!$B$2:$B$2000,$A83,Sales!$C$2:$C$2000,G$4,Sales!$E$2:$E$2000,"Actual"),SUMIFS(Sales!$D$2:$D$2000,Sales!$B$2:$B$2000,$A83,Sales!$C$2:$C$2000,G$4,Sales!$E$2:$E$2000,"Forecast"))</f>
        <v>4</v>
      </c>
      <c r="H87" s="20" t="n">
        <f aca="false">IF(COUNTIFS(Sales!$B$2:$B$2000,$A83,Sales!$C$2:$C$2000,H$4,Sales!$E$2:$E$2000,"Actual")&gt;0,SUMIFS(Sales!$D$2:$D$2000,Sales!$B$2:$B$2000,$A83,Sales!$C$2:$C$2000,H$4,Sales!$E$2:$E$2000,"Actual"),SUMIFS(Sales!$D$2:$D$2000,Sales!$B$2:$B$2000,$A83,Sales!$C$2:$C$2000,H$4,Sales!$E$2:$E$2000,"Forecast"))</f>
        <v>4</v>
      </c>
      <c r="I87" s="20" t="n">
        <f aca="false">IF(COUNTIFS(Sales!$B$2:$B$2000,$A83,Sales!$C$2:$C$2000,I$4,Sales!$E$2:$E$2000,"Actual")&gt;0,SUMIFS(Sales!$D$2:$D$2000,Sales!$B$2:$B$2000,$A83,Sales!$C$2:$C$2000,I$4,Sales!$E$2:$E$2000,"Actual"),SUMIFS(Sales!$D$2:$D$2000,Sales!$B$2:$B$2000,$A83,Sales!$C$2:$C$2000,I$4,Sales!$E$2:$E$2000,"Forecast"))</f>
        <v>4</v>
      </c>
      <c r="J87" s="20" t="n">
        <f aca="false">IF(COUNTIFS(Sales!$B$2:$B$2000,$A83,Sales!$C$2:$C$2000,J$4,Sales!$E$2:$E$2000,"Actual")&gt;0,SUMIFS(Sales!$D$2:$D$2000,Sales!$B$2:$B$2000,$A83,Sales!$C$2:$C$2000,J$4,Sales!$E$2:$E$2000,"Actual"),SUMIFS(Sales!$D$2:$D$2000,Sales!$B$2:$B$2000,$A83,Sales!$C$2:$C$2000,J$4,Sales!$E$2:$E$2000,"Forecast"))</f>
        <v>3</v>
      </c>
      <c r="K87" s="20" t="n">
        <f aca="false">IF(COUNTIFS(Sales!$B$2:$B$2000,$A83,Sales!$C$2:$C$2000,K$4,Sales!$E$2:$E$2000,"Actual")&gt;0,SUMIFS(Sales!$D$2:$D$2000,Sales!$B$2:$B$2000,$A83,Sales!$C$2:$C$2000,K$4,Sales!$E$2:$E$2000,"Actual"),SUMIFS(Sales!$D$2:$D$2000,Sales!$B$2:$B$2000,$A83,Sales!$C$2:$C$2000,K$4,Sales!$E$2:$E$2000,"Forecast"))</f>
        <v>3</v>
      </c>
      <c r="L87" s="20" t="n">
        <f aca="false">IF(COUNTIFS(Sales!$B$2:$B$2000,$A83,Sales!$C$2:$C$2000,L$4,Sales!$E$2:$E$2000,"Actual")&gt;0,SUMIFS(Sales!$D$2:$D$2000,Sales!$B$2:$B$2000,$A83,Sales!$C$2:$C$2000,L$4,Sales!$E$2:$E$2000,"Actual"),SUMIFS(Sales!$D$2:$D$2000,Sales!$B$2:$B$2000,$A83,Sales!$C$2:$C$2000,L$4,Sales!$E$2:$E$2000,"Forecast"))</f>
        <v>3</v>
      </c>
      <c r="M87" s="20" t="n">
        <f aca="false">IF(COUNTIFS(Sales!$B$2:$B$2000,$A83,Sales!$C$2:$C$2000,M$4,Sales!$E$2:$E$2000,"Actual")&gt;0,SUMIFS(Sales!$D$2:$D$2000,Sales!$B$2:$B$2000,$A83,Sales!$C$2:$C$2000,M$4,Sales!$E$2:$E$2000,"Actual"),SUMIFS(Sales!$D$2:$D$2000,Sales!$B$2:$B$2000,$A83,Sales!$C$2:$C$2000,M$4,Sales!$E$2:$E$2000,"Forecast"))</f>
        <v>4</v>
      </c>
      <c r="N87" s="20" t="n">
        <f aca="false">IF(COUNTIFS(Sales!$B$2:$B$2000,$A83,Sales!$C$2:$C$2000,N$4,Sales!$E$2:$E$2000,"Actual")&gt;0,SUMIFS(Sales!$D$2:$D$2000,Sales!$B$2:$B$2000,$A83,Sales!$C$2:$C$2000,N$4,Sales!$E$2:$E$2000,"Actual"),SUMIFS(Sales!$D$2:$D$2000,Sales!$B$2:$B$2000,$A83,Sales!$C$2:$C$2000,N$4,Sales!$E$2:$E$2000,"Forecast"))</f>
        <v>4</v>
      </c>
      <c r="O87" s="22" t="n">
        <f aca="false">IF(COUNTIFS(Sales!$B$2:$B$2000,$A83,Sales!$C$2:$C$2000,O$4,Sales!$E$2:$E$2000,"Actual")&gt;0,SUMIFS(Sales!$D$2:$D$2000,Sales!$B$2:$B$2000,$A83,Sales!$C$2:$C$2000,O$4,Sales!$E$2:$E$2000,"Actual"),SUMIFS(Sales!$D$2:$D$2000,Sales!$B$2:$B$2000,$A83,Sales!$C$2:$C$2000,O$4,Sales!$E$2:$E$2000,"Forecast"))</f>
        <v>4</v>
      </c>
      <c r="P87" s="22" t="n">
        <f aca="false">IF(COUNTIFS(Sales!$B$2:$B$2000,$A83,Sales!$C$2:$C$2000,P$4,Sales!$E$2:$E$2000,"Actual")&gt;0,SUMIFS(Sales!$D$2:$D$2000,Sales!$B$2:$B$2000,$A83,Sales!$C$2:$C$2000,P$4,Sales!$E$2:$E$2000,"Actual"),SUMIFS(Sales!$D$2:$D$2000,Sales!$B$2:$B$2000,$A83,Sales!$C$2:$C$2000,P$4,Sales!$E$2:$E$2000,"Forecast"))</f>
        <v>5</v>
      </c>
      <c r="Q87" s="22" t="n">
        <f aca="false">IF(COUNTIFS(Sales!$B$2:$B$2000,$A83,Sales!$C$2:$C$2000,Q$4,Sales!$E$2:$E$2000,"Actual")&gt;0,SUMIFS(Sales!$D$2:$D$2000,Sales!$B$2:$B$2000,$A83,Sales!$C$2:$C$2000,Q$4,Sales!$E$2:$E$2000,"Actual"),SUMIFS(Sales!$D$2:$D$2000,Sales!$B$2:$B$2000,$A83,Sales!$C$2:$C$2000,Q$4,Sales!$E$2:$E$2000,"Forecast"))</f>
        <v>4</v>
      </c>
    </row>
    <row r="88" customFormat="false" ht="15" hidden="false" customHeight="false" outlineLevel="0" collapsed="false">
      <c r="A88" s="16" t="str">
        <f aca="false">$A$83</f>
        <v>Wildtrak</v>
      </c>
      <c r="B88" s="5" t="s">
        <v>53</v>
      </c>
      <c r="C88" s="23" t="n">
        <f aca="false">C84+C85+C86-C87</f>
        <v>9</v>
      </c>
      <c r="D88" s="23" t="n">
        <f aca="false">D84+D85+D86-D87</f>
        <v>4</v>
      </c>
      <c r="E88" s="23" t="n">
        <f aca="false">E84+E85+E86-E87</f>
        <v>4</v>
      </c>
      <c r="F88" s="23" t="n">
        <f aca="false">F84+F85+F86-F87</f>
        <v>8</v>
      </c>
      <c r="G88" s="23" t="n">
        <f aca="false">G84+G85+G86-G87</f>
        <v>9</v>
      </c>
      <c r="H88" s="23" t="n">
        <f aca="false">H84+H85+H86-H87</f>
        <v>7</v>
      </c>
      <c r="I88" s="23" t="n">
        <f aca="false">I84+I85+I86-I87</f>
        <v>6</v>
      </c>
      <c r="J88" s="23" t="n">
        <f aca="false">J84+J85+J86-J87</f>
        <v>7</v>
      </c>
      <c r="K88" s="23" t="n">
        <f aca="false">K84+K85+K86-K87</f>
        <v>8</v>
      </c>
      <c r="L88" s="23" t="n">
        <f aca="false">L84+L85+L86-L87</f>
        <v>8</v>
      </c>
      <c r="M88" s="23" t="n">
        <f aca="false">M84+M85+M86-M87</f>
        <v>9</v>
      </c>
      <c r="N88" s="23" t="n">
        <f aca="false">N84+N85+N86-N87</f>
        <v>9</v>
      </c>
    </row>
    <row r="89" customFormat="false" ht="15" hidden="false" customHeight="false" outlineLevel="0" collapsed="false">
      <c r="A89" s="16" t="str">
        <f aca="false">$A$83</f>
        <v>Wildtrak</v>
      </c>
      <c r="B89" s="8" t="s">
        <v>54</v>
      </c>
      <c r="C89" s="10" t="n">
        <f aca="false">AVERAGE(D87:F87)</f>
        <v>4.66666666666667</v>
      </c>
      <c r="D89" s="10" t="n">
        <f aca="false">AVERAGE(E87:G87)</f>
        <v>4.33333333333333</v>
      </c>
      <c r="E89" s="10" t="n">
        <f aca="false">AVERAGE(F87:H87)</f>
        <v>4.33333333333333</v>
      </c>
      <c r="F89" s="10" t="n">
        <f aca="false">AVERAGE(G87:I87)</f>
        <v>4</v>
      </c>
      <c r="G89" s="10" t="n">
        <f aca="false">AVERAGE(H87:J87)</f>
        <v>3.66666666666667</v>
      </c>
      <c r="H89" s="10" t="n">
        <f aca="false">AVERAGE(I87:K87)</f>
        <v>3.33333333333333</v>
      </c>
      <c r="I89" s="10" t="n">
        <f aca="false">AVERAGE(J87:L87)</f>
        <v>3</v>
      </c>
      <c r="J89" s="10" t="n">
        <f aca="false">AVERAGE(K87:M87)</f>
        <v>3.33333333333333</v>
      </c>
      <c r="K89" s="10" t="n">
        <f aca="false">AVERAGE(L87:N87)</f>
        <v>3.66666666666667</v>
      </c>
      <c r="L89" s="10" t="n">
        <f aca="false">AVERAGE(M87:O87)</f>
        <v>4</v>
      </c>
      <c r="M89" s="10" t="n">
        <f aca="false">AVERAGE(N87:P87)</f>
        <v>4.33333333333333</v>
      </c>
      <c r="N89" s="10" t="n">
        <f aca="false">AVERAGE(O87:Q87)</f>
        <v>4.33333333333333</v>
      </c>
    </row>
    <row r="90" customFormat="false" ht="15" hidden="false" customHeight="false" outlineLevel="0" collapsed="false">
      <c r="A90" s="16" t="str">
        <f aca="false">$A$83</f>
        <v>Wildtrak</v>
      </c>
      <c r="B90" s="8" t="s">
        <v>55</v>
      </c>
      <c r="C90" s="10" t="n">
        <f aca="false">$D$83*C89</f>
        <v>9.33333333333333</v>
      </c>
      <c r="D90" s="10" t="n">
        <f aca="false">$D$83*D89</f>
        <v>8.66666666666667</v>
      </c>
      <c r="E90" s="10" t="n">
        <f aca="false">$D$83*E89</f>
        <v>8.66666666666667</v>
      </c>
      <c r="F90" s="10" t="n">
        <f aca="false">$D$83*F89</f>
        <v>8</v>
      </c>
      <c r="G90" s="10" t="n">
        <f aca="false">$D$83*G89</f>
        <v>7.33333333333333</v>
      </c>
      <c r="H90" s="10" t="n">
        <f aca="false">$D$83*H89</f>
        <v>6.66666666666667</v>
      </c>
      <c r="I90" s="10" t="n">
        <f aca="false">$D$83*I89</f>
        <v>6</v>
      </c>
      <c r="J90" s="10" t="n">
        <f aca="false">$D$83*J89</f>
        <v>6.66666666666667</v>
      </c>
      <c r="K90" s="10" t="n">
        <f aca="false">$D$83*K89</f>
        <v>7.33333333333333</v>
      </c>
      <c r="L90" s="10" t="n">
        <f aca="false">$D$83*L89</f>
        <v>8</v>
      </c>
      <c r="M90" s="10" t="n">
        <f aca="false">$D$83*M89</f>
        <v>8.66666666666667</v>
      </c>
      <c r="N90" s="10" t="n">
        <f aca="false">$D$83*N89</f>
        <v>8.66666666666667</v>
      </c>
    </row>
    <row r="91" customFormat="false" ht="15" hidden="false" customHeight="false" outlineLevel="0" collapsed="false">
      <c r="A91" s="16" t="str">
        <f aca="false">$A$83</f>
        <v>Wildtrak</v>
      </c>
      <c r="B91" s="5" t="s">
        <v>56</v>
      </c>
      <c r="C91" s="10" t="n">
        <f aca="false">IFERROR(C88/C89,"")</f>
        <v>1.92857142857143</v>
      </c>
      <c r="D91" s="10" t="n">
        <f aca="false">IFERROR(D88/D89,"")</f>
        <v>0.923076923076923</v>
      </c>
      <c r="E91" s="10" t="n">
        <f aca="false">IFERROR(E88/E89,"")</f>
        <v>0.923076923076923</v>
      </c>
      <c r="F91" s="10" t="n">
        <f aca="false">IFERROR(F88/F89,"")</f>
        <v>2</v>
      </c>
      <c r="G91" s="10" t="n">
        <f aca="false">IFERROR(G88/G89,"")</f>
        <v>2.45454545454545</v>
      </c>
      <c r="H91" s="10" t="n">
        <f aca="false">IFERROR(H88/H89,"")</f>
        <v>2.1</v>
      </c>
      <c r="I91" s="10" t="n">
        <f aca="false">IFERROR(I88/I89,"")</f>
        <v>2</v>
      </c>
      <c r="J91" s="10" t="n">
        <f aca="false">IFERROR(J88/J89,"")</f>
        <v>2.1</v>
      </c>
      <c r="K91" s="10" t="n">
        <f aca="false">IFERROR(K88/K89,"")</f>
        <v>2.18181818181818</v>
      </c>
      <c r="L91" s="10" t="n">
        <f aca="false">IFERROR(L88/L89,"")</f>
        <v>2</v>
      </c>
      <c r="M91" s="10" t="n">
        <f aca="false">IFERROR(M88/M89,"")</f>
        <v>2.07692307692308</v>
      </c>
      <c r="N91" s="10" t="n">
        <f aca="false">IFERROR(N88/N89,"")</f>
        <v>2.07692307692308</v>
      </c>
    </row>
    <row r="92" customFormat="false" ht="15" hidden="false" customHeight="false" outlineLevel="0" collapsed="false">
      <c r="A92" s="16" t="str">
        <f aca="false">$A$83</f>
        <v>Wildtrak</v>
      </c>
      <c r="B92" s="5" t="s">
        <v>57</v>
      </c>
      <c r="C92" s="23" t="n">
        <f aca="false">IF(C$3+$F$83&lt;=12,INDEX($C$86:$N$86,C$3+$F$83),"")</f>
        <v>9</v>
      </c>
      <c r="D92" s="23" t="n">
        <f aca="false">IF(D$3+$F$83&lt;=12,INDEX($C$86:$N$86,D$3+$F$83),"")</f>
        <v>0</v>
      </c>
      <c r="E92" s="23" t="n">
        <f aca="false">IF(E$3+$F$83&lt;=12,INDEX($C$86:$N$86,E$3+$F$83),"")</f>
        <v>2</v>
      </c>
      <c r="F92" s="23" t="n">
        <f aca="false">IF(F$3+$F$83&lt;=12,INDEX($C$86:$N$86,F$3+$F$83),"")</f>
        <v>3</v>
      </c>
      <c r="G92" s="23" t="n">
        <f aca="false">IF(G$3+$F$83&lt;=12,INDEX($C$86:$N$86,G$3+$F$83),"")</f>
        <v>4</v>
      </c>
      <c r="H92" s="23" t="n">
        <f aca="false">IF(H$3+$F$83&lt;=12,INDEX($C$86:$N$86,H$3+$F$83),"")</f>
        <v>4</v>
      </c>
      <c r="I92" s="23" t="n">
        <f aca="false">IF(I$3+$F$83&lt;=12,INDEX($C$86:$N$86,I$3+$F$83),"")</f>
        <v>3</v>
      </c>
      <c r="J92" s="23" t="n">
        <f aca="false">IF(J$3+$F$83&lt;=12,INDEX($C$86:$N$86,J$3+$F$83),"")</f>
        <v>5</v>
      </c>
      <c r="K92" s="23" t="n">
        <f aca="false">IF(K$3+$F$83&lt;=12,INDEX($C$86:$N$86,K$3+$F$83),"")</f>
        <v>4</v>
      </c>
      <c r="L92" s="23" t="str">
        <f aca="false">IF(L$3+$F$83&lt;=12,INDEX($C$86:$N$86,L$3+$F$83),"")</f>
        <v/>
      </c>
      <c r="M92" s="23" t="str">
        <f aca="false">IF(M$3+$F$83&lt;=12,INDEX($C$86:$N$86,M$3+$F$83),"")</f>
        <v/>
      </c>
      <c r="N92" s="23" t="str">
        <f aca="false">IF(N$3+$F$83&lt;=12,INDEX($C$86:$N$86,N$3+$F$83),"")</f>
        <v/>
      </c>
    </row>
  </sheetData>
  <conditionalFormatting sqref="C14:N14">
    <cfRule type="expression" priority="2" aboveAverage="0" equalAverage="0" bottom="0" percent="0" rank="0" text="" dxfId="0">
      <formula>AND(C14&lt;&gt;"",C14&lt;$D$6)</formula>
    </cfRule>
    <cfRule type="expression" priority="3" aboveAverage="0" equalAverage="0" bottom="0" percent="0" rank="0" text="" dxfId="1">
      <formula>AND(C14&lt;&gt;"",C14&gt;$D$6+1)</formula>
    </cfRule>
    <cfRule type="expression" priority="4" aboveAverage="0" equalAverage="0" bottom="0" percent="0" rank="0" text="" dxfId="2">
      <formula>AND(C14&lt;&gt;"",C14&gt;=$D$6,C14&lt;=$D$6+1)</formula>
    </cfRule>
  </conditionalFormatting>
  <conditionalFormatting sqref="C25:N25">
    <cfRule type="expression" priority="5" aboveAverage="0" equalAverage="0" bottom="0" percent="0" rank="0" text="" dxfId="0">
      <formula>AND(C25&lt;&gt;"",C25&lt;$D$17)</formula>
    </cfRule>
    <cfRule type="expression" priority="6" aboveAverage="0" equalAverage="0" bottom="0" percent="0" rank="0" text="" dxfId="1">
      <formula>AND(C25&lt;&gt;"",C25&gt;$D$17+1)</formula>
    </cfRule>
    <cfRule type="expression" priority="7" aboveAverage="0" equalAverage="0" bottom="0" percent="0" rank="0" text="" dxfId="2">
      <formula>AND(C25&lt;&gt;"",C25&gt;=$D$17,C25&lt;=$D$17+1)</formula>
    </cfRule>
  </conditionalFormatting>
  <conditionalFormatting sqref="C36:N36">
    <cfRule type="expression" priority="8" aboveAverage="0" equalAverage="0" bottom="0" percent="0" rank="0" text="" dxfId="0">
      <formula>AND(C36&lt;&gt;"",C36&lt;$D$28)</formula>
    </cfRule>
    <cfRule type="expression" priority="9" aboveAverage="0" equalAverage="0" bottom="0" percent="0" rank="0" text="" dxfId="1">
      <formula>AND(C36&lt;&gt;"",C36&gt;$D$28+1)</formula>
    </cfRule>
    <cfRule type="expression" priority="10" aboveAverage="0" equalAverage="0" bottom="0" percent="0" rank="0" text="" dxfId="2">
      <formula>AND(C36&lt;&gt;"",C36&gt;=$D$28,C36&lt;=$D$28+1)</formula>
    </cfRule>
  </conditionalFormatting>
  <conditionalFormatting sqref="C47:N47">
    <cfRule type="expression" priority="11" aboveAverage="0" equalAverage="0" bottom="0" percent="0" rank="0" text="" dxfId="0">
      <formula>AND(C47&lt;&gt;"",C47&lt;$D$39)</formula>
    </cfRule>
    <cfRule type="expression" priority="12" aboveAverage="0" equalAverage="0" bottom="0" percent="0" rank="0" text="" dxfId="1">
      <formula>AND(C47&lt;&gt;"",C47&gt;$D$39+1)</formula>
    </cfRule>
    <cfRule type="expression" priority="13" aboveAverage="0" equalAverage="0" bottom="0" percent="0" rank="0" text="" dxfId="2">
      <formula>AND(C47&lt;&gt;"",C47&gt;=$D$39,C47&lt;=$D$39+1)</formula>
    </cfRule>
  </conditionalFormatting>
  <conditionalFormatting sqref="C58:N58">
    <cfRule type="expression" priority="14" aboveAverage="0" equalAverage="0" bottom="0" percent="0" rank="0" text="" dxfId="0">
      <formula>AND(C58&lt;&gt;"",C58&lt;$D$50)</formula>
    </cfRule>
    <cfRule type="expression" priority="15" aboveAverage="0" equalAverage="0" bottom="0" percent="0" rank="0" text="" dxfId="1">
      <formula>AND(C58&lt;&gt;"",C58&gt;$D$50+1)</formula>
    </cfRule>
    <cfRule type="expression" priority="16" aboveAverage="0" equalAverage="0" bottom="0" percent="0" rank="0" text="" dxfId="2">
      <formula>AND(C58&lt;&gt;"",C58&gt;=$D$50,C58&lt;=$D$50+1)</formula>
    </cfRule>
  </conditionalFormatting>
  <conditionalFormatting sqref="C69:N69">
    <cfRule type="expression" priority="17" aboveAverage="0" equalAverage="0" bottom="0" percent="0" rank="0" text="" dxfId="0">
      <formula>AND(C69&lt;&gt;"",C69&lt;$D$61)</formula>
    </cfRule>
    <cfRule type="expression" priority="18" aboveAverage="0" equalAverage="0" bottom="0" percent="0" rank="0" text="" dxfId="1">
      <formula>AND(C69&lt;&gt;"",C69&gt;$D$61+1)</formula>
    </cfRule>
    <cfRule type="expression" priority="19" aboveAverage="0" equalAverage="0" bottom="0" percent="0" rank="0" text="" dxfId="2">
      <formula>AND(C69&lt;&gt;"",C69&gt;=$D$61,C69&lt;=$D$61+1)</formula>
    </cfRule>
  </conditionalFormatting>
  <conditionalFormatting sqref="C80:N80">
    <cfRule type="expression" priority="20" aboveAverage="0" equalAverage="0" bottom="0" percent="0" rank="0" text="" dxfId="0">
      <formula>AND(C80&lt;&gt;"",C80&lt;$D$72)</formula>
    </cfRule>
    <cfRule type="expression" priority="21" aboveAverage="0" equalAverage="0" bottom="0" percent="0" rank="0" text="" dxfId="1">
      <formula>AND(C80&lt;&gt;"",C80&gt;$D$72+1)</formula>
    </cfRule>
    <cfRule type="expression" priority="22" aboveAverage="0" equalAverage="0" bottom="0" percent="0" rank="0" text="" dxfId="2">
      <formula>AND(C80&lt;&gt;"",C80&gt;=$D$72,C80&lt;=$D$72+1)</formula>
    </cfRule>
  </conditionalFormatting>
  <conditionalFormatting sqref="C91:N91">
    <cfRule type="expression" priority="23" aboveAverage="0" equalAverage="0" bottom="0" percent="0" rank="0" text="" dxfId="0">
      <formula>AND(C91&lt;&gt;"",C91&lt;$D$83)</formula>
    </cfRule>
    <cfRule type="expression" priority="24" aboveAverage="0" equalAverage="0" bottom="0" percent="0" rank="0" text="" dxfId="1">
      <formula>AND(C91&lt;&gt;"",C91&gt;$D$83+1)</formula>
    </cfRule>
    <cfRule type="expression" priority="25" aboveAverage="0" equalAverage="0" bottom="0" percent="0" rank="0" text="" dxfId="2">
      <formula>AND(C91&lt;&gt;"",C91&gt;=$D$83,C91&lt;=$D$83+1)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24" t="s">
        <v>37</v>
      </c>
      <c r="B1" s="24" t="s">
        <v>38</v>
      </c>
      <c r="C1" s="24" t="s">
        <v>58</v>
      </c>
      <c r="D1" s="24" t="s">
        <v>59</v>
      </c>
    </row>
    <row r="2" customFormat="false" ht="15" hidden="false" customHeight="false" outlineLevel="0" collapsed="false">
      <c r="A2" s="25" t="s">
        <v>60</v>
      </c>
      <c r="B2" s="25" t="s">
        <v>61</v>
      </c>
      <c r="C2" s="25" t="n">
        <v>3</v>
      </c>
      <c r="D2" s="25" t="n">
        <v>3</v>
      </c>
    </row>
    <row r="3" customFormat="false" ht="15" hidden="false" customHeight="false" outlineLevel="0" collapsed="false">
      <c r="A3" s="25" t="s">
        <v>60</v>
      </c>
      <c r="B3" s="25" t="s">
        <v>62</v>
      </c>
      <c r="C3" s="25" t="n">
        <v>3</v>
      </c>
      <c r="D3" s="25" t="n">
        <v>3</v>
      </c>
    </row>
    <row r="4" customFormat="false" ht="15" hidden="false" customHeight="false" outlineLevel="0" collapsed="false">
      <c r="A4" s="25" t="s">
        <v>60</v>
      </c>
      <c r="B4" s="25" t="s">
        <v>63</v>
      </c>
      <c r="C4" s="25" t="n">
        <v>3</v>
      </c>
      <c r="D4" s="25" t="n">
        <v>3</v>
      </c>
    </row>
    <row r="5" customFormat="false" ht="15" hidden="false" customHeight="false" outlineLevel="0" collapsed="false">
      <c r="A5" s="25" t="s">
        <v>64</v>
      </c>
      <c r="B5" s="25" t="s">
        <v>65</v>
      </c>
      <c r="C5" s="25" t="n">
        <v>2</v>
      </c>
      <c r="D5" s="25" t="n">
        <v>3</v>
      </c>
    </row>
    <row r="6" customFormat="false" ht="15" hidden="false" customHeight="false" outlineLevel="0" collapsed="false">
      <c r="A6" s="25" t="s">
        <v>64</v>
      </c>
      <c r="B6" s="25" t="s">
        <v>66</v>
      </c>
      <c r="C6" s="25" t="n">
        <v>2</v>
      </c>
      <c r="D6" s="25" t="n">
        <v>3</v>
      </c>
    </row>
    <row r="7" customFormat="false" ht="15" hidden="false" customHeight="false" outlineLevel="0" collapsed="false">
      <c r="A7" s="25" t="s">
        <v>64</v>
      </c>
      <c r="B7" s="25" t="s">
        <v>67</v>
      </c>
      <c r="C7" s="25" t="n">
        <v>2</v>
      </c>
      <c r="D7" s="25" t="n">
        <v>3</v>
      </c>
    </row>
    <row r="8" customFormat="false" ht="15" hidden="false" customHeight="false" outlineLevel="0" collapsed="false">
      <c r="A8" s="25" t="s">
        <v>64</v>
      </c>
      <c r="B8" s="25" t="s">
        <v>68</v>
      </c>
      <c r="C8" s="25" t="n">
        <v>2</v>
      </c>
      <c r="D8" s="25" t="n">
        <v>3</v>
      </c>
    </row>
    <row r="9" customFormat="false" ht="15" hidden="false" customHeight="false" outlineLevel="0" collapsed="false">
      <c r="A9" s="25" t="s">
        <v>64</v>
      </c>
      <c r="B9" s="25" t="s">
        <v>69</v>
      </c>
      <c r="C9" s="25" t="n">
        <v>2</v>
      </c>
      <c r="D9" s="25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24" t="s">
        <v>37</v>
      </c>
      <c r="B1" s="24" t="s">
        <v>38</v>
      </c>
      <c r="C1" s="24" t="s">
        <v>47</v>
      </c>
      <c r="D1" s="24" t="s">
        <v>70</v>
      </c>
    </row>
    <row r="2" customFormat="false" ht="15" hidden="false" customHeight="false" outlineLevel="0" collapsed="false">
      <c r="A2" s="25" t="s">
        <v>60</v>
      </c>
      <c r="B2" s="25" t="s">
        <v>61</v>
      </c>
      <c r="C2" s="26" t="n">
        <v>46327</v>
      </c>
      <c r="D2" s="25" t="n">
        <v>80</v>
      </c>
    </row>
    <row r="3" customFormat="false" ht="15" hidden="false" customHeight="false" outlineLevel="0" collapsed="false">
      <c r="A3" s="25" t="s">
        <v>60</v>
      </c>
      <c r="B3" s="25" t="s">
        <v>62</v>
      </c>
      <c r="C3" s="26" t="n">
        <v>46327</v>
      </c>
      <c r="D3" s="25" t="n">
        <v>210</v>
      </c>
    </row>
    <row r="4" customFormat="false" ht="15" hidden="false" customHeight="false" outlineLevel="0" collapsed="false">
      <c r="A4" s="25" t="s">
        <v>60</v>
      </c>
      <c r="B4" s="25" t="s">
        <v>63</v>
      </c>
      <c r="C4" s="26" t="n">
        <v>46327</v>
      </c>
      <c r="D4" s="25" t="n">
        <v>45</v>
      </c>
    </row>
    <row r="5" customFormat="false" ht="15" hidden="false" customHeight="false" outlineLevel="0" collapsed="false">
      <c r="A5" s="25" t="s">
        <v>64</v>
      </c>
      <c r="B5" s="25" t="s">
        <v>65</v>
      </c>
      <c r="C5" s="26" t="n">
        <v>46327</v>
      </c>
      <c r="D5" s="25" t="n">
        <v>14</v>
      </c>
    </row>
    <row r="6" customFormat="false" ht="15" hidden="false" customHeight="false" outlineLevel="0" collapsed="false">
      <c r="A6" s="25" t="s">
        <v>64</v>
      </c>
      <c r="B6" s="25" t="s">
        <v>66</v>
      </c>
      <c r="C6" s="26" t="n">
        <v>46327</v>
      </c>
      <c r="D6" s="25" t="n">
        <v>25</v>
      </c>
    </row>
    <row r="7" customFormat="false" ht="15" hidden="false" customHeight="false" outlineLevel="0" collapsed="false">
      <c r="A7" s="25" t="s">
        <v>64</v>
      </c>
      <c r="B7" s="25" t="s">
        <v>67</v>
      </c>
      <c r="C7" s="26" t="n">
        <v>46327</v>
      </c>
      <c r="D7" s="25" t="n">
        <v>19</v>
      </c>
    </row>
    <row r="8" customFormat="false" ht="15" hidden="false" customHeight="false" outlineLevel="0" collapsed="false">
      <c r="A8" s="25" t="s">
        <v>64</v>
      </c>
      <c r="B8" s="25" t="s">
        <v>68</v>
      </c>
      <c r="C8" s="26" t="n">
        <v>46327</v>
      </c>
      <c r="D8" s="25" t="n">
        <v>9</v>
      </c>
    </row>
    <row r="9" customFormat="false" ht="15" hidden="false" customHeight="false" outlineLevel="0" collapsed="false">
      <c r="A9" s="25" t="s">
        <v>64</v>
      </c>
      <c r="B9" s="25" t="s">
        <v>69</v>
      </c>
      <c r="C9" s="26" t="n">
        <v>46327</v>
      </c>
      <c r="D9" s="25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24" t="s">
        <v>37</v>
      </c>
      <c r="B1" s="24" t="s">
        <v>38</v>
      </c>
      <c r="C1" s="24" t="s">
        <v>47</v>
      </c>
      <c r="D1" s="24" t="s">
        <v>71</v>
      </c>
      <c r="E1" s="24" t="s">
        <v>72</v>
      </c>
      <c r="F1" s="24" t="s">
        <v>73</v>
      </c>
    </row>
    <row r="2" customFormat="false" ht="15" hidden="false" customHeight="false" outlineLevel="0" collapsed="false">
      <c r="A2" s="25" t="s">
        <v>60</v>
      </c>
      <c r="B2" s="25" t="s">
        <v>61</v>
      </c>
      <c r="C2" s="26" t="n">
        <v>46235</v>
      </c>
      <c r="D2" s="25" t="n">
        <v>19</v>
      </c>
      <c r="E2" s="25" t="s">
        <v>74</v>
      </c>
      <c r="F2" s="25"/>
    </row>
    <row r="3" customFormat="false" ht="15" hidden="false" customHeight="false" outlineLevel="0" collapsed="false">
      <c r="A3" s="25" t="s">
        <v>60</v>
      </c>
      <c r="B3" s="25" t="s">
        <v>61</v>
      </c>
      <c r="C3" s="26" t="n">
        <v>46266</v>
      </c>
      <c r="D3" s="25" t="n">
        <v>21</v>
      </c>
      <c r="E3" s="25" t="s">
        <v>74</v>
      </c>
      <c r="F3" s="25"/>
    </row>
    <row r="4" customFormat="false" ht="15" hidden="false" customHeight="false" outlineLevel="0" collapsed="false">
      <c r="A4" s="25" t="s">
        <v>60</v>
      </c>
      <c r="B4" s="25" t="s">
        <v>61</v>
      </c>
      <c r="C4" s="26" t="n">
        <v>46296</v>
      </c>
      <c r="D4" s="25" t="n">
        <v>26</v>
      </c>
      <c r="E4" s="25" t="s">
        <v>74</v>
      </c>
      <c r="F4" s="25"/>
    </row>
    <row r="5" customFormat="false" ht="15" hidden="false" customHeight="false" outlineLevel="0" collapsed="false">
      <c r="A5" s="25" t="s">
        <v>60</v>
      </c>
      <c r="B5" s="25" t="s">
        <v>61</v>
      </c>
      <c r="C5" s="26" t="n">
        <v>46327</v>
      </c>
      <c r="D5" s="25" t="n">
        <v>25</v>
      </c>
      <c r="E5" s="25" t="s">
        <v>75</v>
      </c>
      <c r="F5" s="25"/>
    </row>
    <row r="6" customFormat="false" ht="15" hidden="false" customHeight="false" outlineLevel="0" collapsed="false">
      <c r="A6" s="25" t="s">
        <v>60</v>
      </c>
      <c r="B6" s="25" t="s">
        <v>61</v>
      </c>
      <c r="C6" s="26" t="n">
        <v>46357</v>
      </c>
      <c r="D6" s="25" t="n">
        <v>29</v>
      </c>
      <c r="E6" s="25" t="s">
        <v>75</v>
      </c>
      <c r="F6" s="25"/>
    </row>
    <row r="7" customFormat="false" ht="15" hidden="false" customHeight="false" outlineLevel="0" collapsed="false">
      <c r="A7" s="25" t="s">
        <v>60</v>
      </c>
      <c r="B7" s="25" t="s">
        <v>61</v>
      </c>
      <c r="C7" s="26" t="n">
        <v>46388</v>
      </c>
      <c r="D7" s="25" t="n">
        <v>26</v>
      </c>
      <c r="E7" s="25" t="s">
        <v>75</v>
      </c>
      <c r="F7" s="25"/>
    </row>
    <row r="8" customFormat="false" ht="15" hidden="false" customHeight="false" outlineLevel="0" collapsed="false">
      <c r="A8" s="25" t="s">
        <v>60</v>
      </c>
      <c r="B8" s="25" t="s">
        <v>61</v>
      </c>
      <c r="C8" s="26" t="n">
        <v>46419</v>
      </c>
      <c r="D8" s="25" t="n">
        <v>30</v>
      </c>
      <c r="E8" s="25" t="s">
        <v>75</v>
      </c>
      <c r="F8" s="25"/>
    </row>
    <row r="9" customFormat="false" ht="15" hidden="false" customHeight="false" outlineLevel="0" collapsed="false">
      <c r="A9" s="25" t="s">
        <v>60</v>
      </c>
      <c r="B9" s="25" t="s">
        <v>61</v>
      </c>
      <c r="C9" s="26" t="n">
        <v>46447</v>
      </c>
      <c r="D9" s="25" t="n">
        <v>28</v>
      </c>
      <c r="E9" s="25" t="s">
        <v>75</v>
      </c>
      <c r="F9" s="25"/>
    </row>
    <row r="10" customFormat="false" ht="15" hidden="false" customHeight="false" outlineLevel="0" collapsed="false">
      <c r="A10" s="25" t="s">
        <v>60</v>
      </c>
      <c r="B10" s="25" t="s">
        <v>61</v>
      </c>
      <c r="C10" s="26" t="n">
        <v>46478</v>
      </c>
      <c r="D10" s="25" t="n">
        <v>24</v>
      </c>
      <c r="E10" s="25" t="s">
        <v>75</v>
      </c>
      <c r="F10" s="25"/>
    </row>
    <row r="11" customFormat="false" ht="15" hidden="false" customHeight="false" outlineLevel="0" collapsed="false">
      <c r="A11" s="25" t="s">
        <v>60</v>
      </c>
      <c r="B11" s="25" t="s">
        <v>61</v>
      </c>
      <c r="C11" s="26" t="n">
        <v>46508</v>
      </c>
      <c r="D11" s="25" t="n">
        <v>22</v>
      </c>
      <c r="E11" s="25" t="s">
        <v>75</v>
      </c>
      <c r="F11" s="25"/>
    </row>
    <row r="12" customFormat="false" ht="15" hidden="false" customHeight="false" outlineLevel="0" collapsed="false">
      <c r="A12" s="25" t="s">
        <v>60</v>
      </c>
      <c r="B12" s="25" t="s">
        <v>61</v>
      </c>
      <c r="C12" s="26" t="n">
        <v>46539</v>
      </c>
      <c r="D12" s="25" t="n">
        <v>20</v>
      </c>
      <c r="E12" s="25" t="s">
        <v>75</v>
      </c>
      <c r="F12" s="25"/>
    </row>
    <row r="13" customFormat="false" ht="15" hidden="false" customHeight="false" outlineLevel="0" collapsed="false">
      <c r="A13" s="25" t="s">
        <v>60</v>
      </c>
      <c r="B13" s="25" t="s">
        <v>61</v>
      </c>
      <c r="C13" s="26" t="n">
        <v>46569</v>
      </c>
      <c r="D13" s="25" t="n">
        <v>19</v>
      </c>
      <c r="E13" s="25" t="s">
        <v>75</v>
      </c>
      <c r="F13" s="25"/>
    </row>
    <row r="14" customFormat="false" ht="15" hidden="false" customHeight="false" outlineLevel="0" collapsed="false">
      <c r="A14" s="25" t="s">
        <v>60</v>
      </c>
      <c r="B14" s="25" t="s">
        <v>61</v>
      </c>
      <c r="C14" s="26" t="n">
        <v>46600</v>
      </c>
      <c r="D14" s="25" t="n">
        <v>20</v>
      </c>
      <c r="E14" s="25" t="s">
        <v>75</v>
      </c>
      <c r="F14" s="25"/>
    </row>
    <row r="15" customFormat="false" ht="15" hidden="false" customHeight="false" outlineLevel="0" collapsed="false">
      <c r="A15" s="25" t="s">
        <v>60</v>
      </c>
      <c r="B15" s="25" t="s">
        <v>61</v>
      </c>
      <c r="C15" s="26" t="n">
        <v>46631</v>
      </c>
      <c r="D15" s="25" t="n">
        <v>24</v>
      </c>
      <c r="E15" s="25" t="s">
        <v>75</v>
      </c>
      <c r="F15" s="25"/>
    </row>
    <row r="16" customFormat="false" ht="15" hidden="false" customHeight="false" outlineLevel="0" collapsed="false">
      <c r="A16" s="25" t="s">
        <v>60</v>
      </c>
      <c r="B16" s="25" t="s">
        <v>61</v>
      </c>
      <c r="C16" s="26" t="n">
        <v>46661</v>
      </c>
      <c r="D16" s="25" t="n">
        <v>25</v>
      </c>
      <c r="E16" s="25" t="s">
        <v>75</v>
      </c>
      <c r="F16" s="25"/>
    </row>
    <row r="17" customFormat="false" ht="15" hidden="false" customHeight="false" outlineLevel="0" collapsed="false">
      <c r="A17" s="25" t="s">
        <v>60</v>
      </c>
      <c r="B17" s="25" t="s">
        <v>61</v>
      </c>
      <c r="C17" s="26" t="n">
        <v>46692</v>
      </c>
      <c r="D17" s="25" t="n">
        <v>25</v>
      </c>
      <c r="E17" s="25" t="s">
        <v>75</v>
      </c>
      <c r="F17" s="25"/>
    </row>
    <row r="18" customFormat="false" ht="15" hidden="false" customHeight="false" outlineLevel="0" collapsed="false">
      <c r="A18" s="25" t="s">
        <v>60</v>
      </c>
      <c r="B18" s="25" t="s">
        <v>61</v>
      </c>
      <c r="C18" s="26" t="n">
        <v>46722</v>
      </c>
      <c r="D18" s="25" t="n">
        <v>29</v>
      </c>
      <c r="E18" s="25" t="s">
        <v>75</v>
      </c>
      <c r="F18" s="25"/>
    </row>
    <row r="19" customFormat="false" ht="15" hidden="false" customHeight="false" outlineLevel="0" collapsed="false">
      <c r="A19" s="25" t="s">
        <v>60</v>
      </c>
      <c r="B19" s="25" t="s">
        <v>61</v>
      </c>
      <c r="C19" s="26" t="n">
        <v>46753</v>
      </c>
      <c r="D19" s="25" t="n">
        <v>26</v>
      </c>
      <c r="E19" s="25" t="s">
        <v>75</v>
      </c>
      <c r="F19" s="25"/>
    </row>
    <row r="20" customFormat="false" ht="15" hidden="false" customHeight="false" outlineLevel="0" collapsed="false">
      <c r="A20" s="25" t="s">
        <v>60</v>
      </c>
      <c r="B20" s="25" t="s">
        <v>62</v>
      </c>
      <c r="C20" s="26" t="n">
        <v>46235</v>
      </c>
      <c r="D20" s="25" t="n">
        <v>24</v>
      </c>
      <c r="E20" s="25" t="s">
        <v>74</v>
      </c>
      <c r="F20" s="25"/>
    </row>
    <row r="21" customFormat="false" ht="15" hidden="false" customHeight="false" outlineLevel="0" collapsed="false">
      <c r="A21" s="25" t="s">
        <v>60</v>
      </c>
      <c r="B21" s="25" t="s">
        <v>62</v>
      </c>
      <c r="C21" s="26" t="n">
        <v>46266</v>
      </c>
      <c r="D21" s="25" t="n">
        <v>34</v>
      </c>
      <c r="E21" s="25" t="s">
        <v>74</v>
      </c>
      <c r="F21" s="25"/>
    </row>
    <row r="22" customFormat="false" ht="15" hidden="false" customHeight="false" outlineLevel="0" collapsed="false">
      <c r="A22" s="25" t="s">
        <v>60</v>
      </c>
      <c r="B22" s="25" t="s">
        <v>62</v>
      </c>
      <c r="C22" s="26" t="n">
        <v>46296</v>
      </c>
      <c r="D22" s="25" t="n">
        <v>34</v>
      </c>
      <c r="E22" s="25" t="s">
        <v>74</v>
      </c>
      <c r="F22" s="25"/>
    </row>
    <row r="23" customFormat="false" ht="15" hidden="false" customHeight="false" outlineLevel="0" collapsed="false">
      <c r="A23" s="25" t="s">
        <v>60</v>
      </c>
      <c r="B23" s="25" t="s">
        <v>62</v>
      </c>
      <c r="C23" s="26" t="n">
        <v>46327</v>
      </c>
      <c r="D23" s="25" t="n">
        <v>35</v>
      </c>
      <c r="E23" s="25" t="s">
        <v>75</v>
      </c>
      <c r="F23" s="25"/>
    </row>
    <row r="24" customFormat="false" ht="15" hidden="false" customHeight="false" outlineLevel="0" collapsed="false">
      <c r="A24" s="25" t="s">
        <v>60</v>
      </c>
      <c r="B24" s="25" t="s">
        <v>62</v>
      </c>
      <c r="C24" s="26" t="n">
        <v>46357</v>
      </c>
      <c r="D24" s="25" t="n">
        <v>40</v>
      </c>
      <c r="E24" s="25" t="s">
        <v>75</v>
      </c>
      <c r="F24" s="25"/>
    </row>
    <row r="25" customFormat="false" ht="15" hidden="false" customHeight="false" outlineLevel="0" collapsed="false">
      <c r="A25" s="25" t="s">
        <v>60</v>
      </c>
      <c r="B25" s="25" t="s">
        <v>62</v>
      </c>
      <c r="C25" s="26" t="n">
        <v>46388</v>
      </c>
      <c r="D25" s="25" t="n">
        <v>37</v>
      </c>
      <c r="E25" s="25" t="s">
        <v>75</v>
      </c>
      <c r="F25" s="25"/>
    </row>
    <row r="26" customFormat="false" ht="15" hidden="false" customHeight="false" outlineLevel="0" collapsed="false">
      <c r="A26" s="25" t="s">
        <v>60</v>
      </c>
      <c r="B26" s="25" t="s">
        <v>62</v>
      </c>
      <c r="C26" s="26" t="n">
        <v>46419</v>
      </c>
      <c r="D26" s="25" t="n">
        <v>42</v>
      </c>
      <c r="E26" s="25" t="s">
        <v>75</v>
      </c>
      <c r="F26" s="25"/>
    </row>
    <row r="27" customFormat="false" ht="15" hidden="false" customHeight="false" outlineLevel="0" collapsed="false">
      <c r="A27" s="25" t="s">
        <v>60</v>
      </c>
      <c r="B27" s="25" t="s">
        <v>62</v>
      </c>
      <c r="C27" s="26" t="n">
        <v>46447</v>
      </c>
      <c r="D27" s="25" t="n">
        <v>38</v>
      </c>
      <c r="E27" s="25" t="s">
        <v>75</v>
      </c>
      <c r="F27" s="25"/>
    </row>
    <row r="28" customFormat="false" ht="15" hidden="false" customHeight="false" outlineLevel="0" collapsed="false">
      <c r="A28" s="25" t="s">
        <v>60</v>
      </c>
      <c r="B28" s="25" t="s">
        <v>62</v>
      </c>
      <c r="C28" s="26" t="n">
        <v>46478</v>
      </c>
      <c r="D28" s="25" t="n">
        <v>33</v>
      </c>
      <c r="E28" s="25" t="s">
        <v>75</v>
      </c>
      <c r="F28" s="25"/>
    </row>
    <row r="29" customFormat="false" ht="15" hidden="false" customHeight="false" outlineLevel="0" collapsed="false">
      <c r="A29" s="25" t="s">
        <v>60</v>
      </c>
      <c r="B29" s="25" t="s">
        <v>62</v>
      </c>
      <c r="C29" s="26" t="n">
        <v>46508</v>
      </c>
      <c r="D29" s="25" t="n">
        <v>32</v>
      </c>
      <c r="E29" s="25" t="s">
        <v>75</v>
      </c>
      <c r="F29" s="25"/>
    </row>
    <row r="30" customFormat="false" ht="15" hidden="false" customHeight="false" outlineLevel="0" collapsed="false">
      <c r="A30" s="25" t="s">
        <v>60</v>
      </c>
      <c r="B30" s="25" t="s">
        <v>62</v>
      </c>
      <c r="C30" s="26" t="n">
        <v>46539</v>
      </c>
      <c r="D30" s="25" t="n">
        <v>28</v>
      </c>
      <c r="E30" s="25" t="s">
        <v>75</v>
      </c>
      <c r="F30" s="25"/>
    </row>
    <row r="31" customFormat="false" ht="15" hidden="false" customHeight="false" outlineLevel="0" collapsed="false">
      <c r="A31" s="25" t="s">
        <v>60</v>
      </c>
      <c r="B31" s="25" t="s">
        <v>62</v>
      </c>
      <c r="C31" s="26" t="n">
        <v>46569</v>
      </c>
      <c r="D31" s="25" t="n">
        <v>26</v>
      </c>
      <c r="E31" s="25" t="s">
        <v>75</v>
      </c>
      <c r="F31" s="25"/>
    </row>
    <row r="32" customFormat="false" ht="15" hidden="false" customHeight="false" outlineLevel="0" collapsed="false">
      <c r="A32" s="25" t="s">
        <v>60</v>
      </c>
      <c r="B32" s="25" t="s">
        <v>62</v>
      </c>
      <c r="C32" s="26" t="n">
        <v>46600</v>
      </c>
      <c r="D32" s="25" t="n">
        <v>28</v>
      </c>
      <c r="E32" s="25" t="s">
        <v>75</v>
      </c>
      <c r="F32" s="25"/>
    </row>
    <row r="33" customFormat="false" ht="15" hidden="false" customHeight="false" outlineLevel="0" collapsed="false">
      <c r="A33" s="25" t="s">
        <v>60</v>
      </c>
      <c r="B33" s="25" t="s">
        <v>62</v>
      </c>
      <c r="C33" s="26" t="n">
        <v>46631</v>
      </c>
      <c r="D33" s="25" t="n">
        <v>33</v>
      </c>
      <c r="E33" s="25" t="s">
        <v>75</v>
      </c>
      <c r="F33" s="25"/>
    </row>
    <row r="34" customFormat="false" ht="15" hidden="false" customHeight="false" outlineLevel="0" collapsed="false">
      <c r="A34" s="25" t="s">
        <v>60</v>
      </c>
      <c r="B34" s="25" t="s">
        <v>62</v>
      </c>
      <c r="C34" s="26" t="n">
        <v>46661</v>
      </c>
      <c r="D34" s="25" t="n">
        <v>35</v>
      </c>
      <c r="E34" s="25" t="s">
        <v>75</v>
      </c>
      <c r="F34" s="25"/>
    </row>
    <row r="35" customFormat="false" ht="15" hidden="false" customHeight="false" outlineLevel="0" collapsed="false">
      <c r="A35" s="25" t="s">
        <v>60</v>
      </c>
      <c r="B35" s="25" t="s">
        <v>62</v>
      </c>
      <c r="C35" s="26" t="n">
        <v>46692</v>
      </c>
      <c r="D35" s="25" t="n">
        <v>35</v>
      </c>
      <c r="E35" s="25" t="s">
        <v>75</v>
      </c>
      <c r="F35" s="25"/>
    </row>
    <row r="36" customFormat="false" ht="15" hidden="false" customHeight="false" outlineLevel="0" collapsed="false">
      <c r="A36" s="25" t="s">
        <v>60</v>
      </c>
      <c r="B36" s="25" t="s">
        <v>62</v>
      </c>
      <c r="C36" s="26" t="n">
        <v>46722</v>
      </c>
      <c r="D36" s="25" t="n">
        <v>40</v>
      </c>
      <c r="E36" s="25" t="s">
        <v>75</v>
      </c>
      <c r="F36" s="25"/>
    </row>
    <row r="37" customFormat="false" ht="15" hidden="false" customHeight="false" outlineLevel="0" collapsed="false">
      <c r="A37" s="25" t="s">
        <v>60</v>
      </c>
      <c r="B37" s="25" t="s">
        <v>62</v>
      </c>
      <c r="C37" s="26" t="n">
        <v>46753</v>
      </c>
      <c r="D37" s="25" t="n">
        <v>37</v>
      </c>
      <c r="E37" s="25" t="s">
        <v>75</v>
      </c>
      <c r="F37" s="25"/>
    </row>
    <row r="38" customFormat="false" ht="15" hidden="false" customHeight="false" outlineLevel="0" collapsed="false">
      <c r="A38" s="25" t="s">
        <v>60</v>
      </c>
      <c r="B38" s="25" t="s">
        <v>63</v>
      </c>
      <c r="C38" s="26" t="n">
        <v>46235</v>
      </c>
      <c r="D38" s="25" t="n">
        <v>14</v>
      </c>
      <c r="E38" s="25" t="s">
        <v>74</v>
      </c>
      <c r="F38" s="25"/>
    </row>
    <row r="39" customFormat="false" ht="15" hidden="false" customHeight="false" outlineLevel="0" collapsed="false">
      <c r="A39" s="25" t="s">
        <v>60</v>
      </c>
      <c r="B39" s="25" t="s">
        <v>63</v>
      </c>
      <c r="C39" s="26" t="n">
        <v>46266</v>
      </c>
      <c r="D39" s="25" t="n">
        <v>19</v>
      </c>
      <c r="E39" s="25" t="s">
        <v>74</v>
      </c>
      <c r="F39" s="25"/>
    </row>
    <row r="40" customFormat="false" ht="15" hidden="false" customHeight="false" outlineLevel="0" collapsed="false">
      <c r="A40" s="25" t="s">
        <v>60</v>
      </c>
      <c r="B40" s="25" t="s">
        <v>63</v>
      </c>
      <c r="C40" s="26" t="n">
        <v>46296</v>
      </c>
      <c r="D40" s="25" t="n">
        <v>17</v>
      </c>
      <c r="E40" s="25" t="s">
        <v>74</v>
      </c>
      <c r="F40" s="25"/>
    </row>
    <row r="41" customFormat="false" ht="15" hidden="false" customHeight="false" outlineLevel="0" collapsed="false">
      <c r="A41" s="25" t="s">
        <v>60</v>
      </c>
      <c r="B41" s="25" t="s">
        <v>63</v>
      </c>
      <c r="C41" s="26" t="n">
        <v>46327</v>
      </c>
      <c r="D41" s="25" t="n">
        <v>20</v>
      </c>
      <c r="E41" s="25" t="s">
        <v>75</v>
      </c>
      <c r="F41" s="25"/>
    </row>
    <row r="42" customFormat="false" ht="15" hidden="false" customHeight="false" outlineLevel="0" collapsed="false">
      <c r="A42" s="25" t="s">
        <v>60</v>
      </c>
      <c r="B42" s="25" t="s">
        <v>63</v>
      </c>
      <c r="C42" s="26" t="n">
        <v>46357</v>
      </c>
      <c r="D42" s="25" t="n">
        <v>23</v>
      </c>
      <c r="E42" s="25" t="s">
        <v>75</v>
      </c>
      <c r="F42" s="25"/>
    </row>
    <row r="43" customFormat="false" ht="15" hidden="false" customHeight="false" outlineLevel="0" collapsed="false">
      <c r="A43" s="25" t="s">
        <v>60</v>
      </c>
      <c r="B43" s="25" t="s">
        <v>63</v>
      </c>
      <c r="C43" s="26" t="n">
        <v>46388</v>
      </c>
      <c r="D43" s="25" t="n">
        <v>21</v>
      </c>
      <c r="E43" s="25" t="s">
        <v>75</v>
      </c>
      <c r="F43" s="25"/>
    </row>
    <row r="44" customFormat="false" ht="15" hidden="false" customHeight="false" outlineLevel="0" collapsed="false">
      <c r="A44" s="25" t="s">
        <v>60</v>
      </c>
      <c r="B44" s="25" t="s">
        <v>63</v>
      </c>
      <c r="C44" s="26" t="n">
        <v>46419</v>
      </c>
      <c r="D44" s="25" t="n">
        <v>24</v>
      </c>
      <c r="E44" s="25" t="s">
        <v>75</v>
      </c>
      <c r="F44" s="25"/>
    </row>
    <row r="45" customFormat="false" ht="15" hidden="false" customHeight="false" outlineLevel="0" collapsed="false">
      <c r="A45" s="25" t="s">
        <v>60</v>
      </c>
      <c r="B45" s="25" t="s">
        <v>63</v>
      </c>
      <c r="C45" s="26" t="n">
        <v>46447</v>
      </c>
      <c r="D45" s="25" t="n">
        <v>22</v>
      </c>
      <c r="E45" s="25" t="s">
        <v>75</v>
      </c>
      <c r="F45" s="25"/>
    </row>
    <row r="46" customFormat="false" ht="15" hidden="false" customHeight="false" outlineLevel="0" collapsed="false">
      <c r="A46" s="25" t="s">
        <v>60</v>
      </c>
      <c r="B46" s="25" t="s">
        <v>63</v>
      </c>
      <c r="C46" s="26" t="n">
        <v>46478</v>
      </c>
      <c r="D46" s="25" t="n">
        <v>59</v>
      </c>
      <c r="E46" s="25" t="s">
        <v>75</v>
      </c>
      <c r="F46" s="25" t="s">
        <v>76</v>
      </c>
    </row>
    <row r="47" customFormat="false" ht="15" hidden="false" customHeight="false" outlineLevel="0" collapsed="false">
      <c r="A47" s="25" t="s">
        <v>60</v>
      </c>
      <c r="B47" s="25" t="s">
        <v>63</v>
      </c>
      <c r="C47" s="26" t="n">
        <v>46508</v>
      </c>
      <c r="D47" s="25" t="n">
        <v>18</v>
      </c>
      <c r="E47" s="25" t="s">
        <v>75</v>
      </c>
      <c r="F47" s="25"/>
    </row>
    <row r="48" customFormat="false" ht="15" hidden="false" customHeight="false" outlineLevel="0" collapsed="false">
      <c r="A48" s="25" t="s">
        <v>60</v>
      </c>
      <c r="B48" s="25" t="s">
        <v>63</v>
      </c>
      <c r="C48" s="26" t="n">
        <v>46539</v>
      </c>
      <c r="D48" s="25" t="n">
        <v>16</v>
      </c>
      <c r="E48" s="25" t="s">
        <v>75</v>
      </c>
      <c r="F48" s="25"/>
    </row>
    <row r="49" customFormat="false" ht="15" hidden="false" customHeight="false" outlineLevel="0" collapsed="false">
      <c r="A49" s="25" t="s">
        <v>60</v>
      </c>
      <c r="B49" s="25" t="s">
        <v>63</v>
      </c>
      <c r="C49" s="26" t="n">
        <v>46569</v>
      </c>
      <c r="D49" s="25" t="n">
        <v>15</v>
      </c>
      <c r="E49" s="25" t="s">
        <v>75</v>
      </c>
      <c r="F49" s="25"/>
    </row>
    <row r="50" customFormat="false" ht="15" hidden="false" customHeight="false" outlineLevel="0" collapsed="false">
      <c r="A50" s="25" t="s">
        <v>60</v>
      </c>
      <c r="B50" s="25" t="s">
        <v>63</v>
      </c>
      <c r="C50" s="26" t="n">
        <v>46600</v>
      </c>
      <c r="D50" s="25" t="n">
        <v>16</v>
      </c>
      <c r="E50" s="25" t="s">
        <v>75</v>
      </c>
      <c r="F50" s="25"/>
    </row>
    <row r="51" customFormat="false" ht="15" hidden="false" customHeight="false" outlineLevel="0" collapsed="false">
      <c r="A51" s="25" t="s">
        <v>60</v>
      </c>
      <c r="B51" s="25" t="s">
        <v>63</v>
      </c>
      <c r="C51" s="26" t="n">
        <v>46631</v>
      </c>
      <c r="D51" s="25" t="n">
        <v>19</v>
      </c>
      <c r="E51" s="25" t="s">
        <v>75</v>
      </c>
      <c r="F51" s="25"/>
    </row>
    <row r="52" customFormat="false" ht="15" hidden="false" customHeight="false" outlineLevel="0" collapsed="false">
      <c r="A52" s="25" t="s">
        <v>60</v>
      </c>
      <c r="B52" s="25" t="s">
        <v>63</v>
      </c>
      <c r="C52" s="26" t="n">
        <v>46661</v>
      </c>
      <c r="D52" s="25" t="n">
        <v>20</v>
      </c>
      <c r="E52" s="25" t="s">
        <v>75</v>
      </c>
      <c r="F52" s="25"/>
    </row>
    <row r="53" customFormat="false" ht="15" hidden="false" customHeight="false" outlineLevel="0" collapsed="false">
      <c r="A53" s="25" t="s">
        <v>60</v>
      </c>
      <c r="B53" s="25" t="s">
        <v>63</v>
      </c>
      <c r="C53" s="26" t="n">
        <v>46692</v>
      </c>
      <c r="D53" s="25" t="n">
        <v>20</v>
      </c>
      <c r="E53" s="25" t="s">
        <v>75</v>
      </c>
      <c r="F53" s="25"/>
    </row>
    <row r="54" customFormat="false" ht="15" hidden="false" customHeight="false" outlineLevel="0" collapsed="false">
      <c r="A54" s="25" t="s">
        <v>60</v>
      </c>
      <c r="B54" s="25" t="s">
        <v>63</v>
      </c>
      <c r="C54" s="26" t="n">
        <v>46722</v>
      </c>
      <c r="D54" s="25" t="n">
        <v>23</v>
      </c>
      <c r="E54" s="25" t="s">
        <v>75</v>
      </c>
      <c r="F54" s="25"/>
    </row>
    <row r="55" customFormat="false" ht="15" hidden="false" customHeight="false" outlineLevel="0" collapsed="false">
      <c r="A55" s="25" t="s">
        <v>60</v>
      </c>
      <c r="B55" s="25" t="s">
        <v>63</v>
      </c>
      <c r="C55" s="26" t="n">
        <v>46753</v>
      </c>
      <c r="D55" s="25" t="n">
        <v>21</v>
      </c>
      <c r="E55" s="25" t="s">
        <v>75</v>
      </c>
      <c r="F55" s="25"/>
    </row>
    <row r="56" customFormat="false" ht="15" hidden="false" customHeight="false" outlineLevel="0" collapsed="false">
      <c r="A56" s="25" t="s">
        <v>64</v>
      </c>
      <c r="B56" s="25" t="s">
        <v>65</v>
      </c>
      <c r="C56" s="26" t="n">
        <v>46235</v>
      </c>
      <c r="D56" s="25" t="n">
        <v>5</v>
      </c>
      <c r="E56" s="25" t="s">
        <v>74</v>
      </c>
      <c r="F56" s="25"/>
    </row>
    <row r="57" customFormat="false" ht="15" hidden="false" customHeight="false" outlineLevel="0" collapsed="false">
      <c r="A57" s="25" t="s">
        <v>64</v>
      </c>
      <c r="B57" s="25" t="s">
        <v>65</v>
      </c>
      <c r="C57" s="26" t="n">
        <v>46266</v>
      </c>
      <c r="D57" s="25" t="n">
        <v>5</v>
      </c>
      <c r="E57" s="25" t="s">
        <v>74</v>
      </c>
      <c r="F57" s="25"/>
    </row>
    <row r="58" customFormat="false" ht="15" hidden="false" customHeight="false" outlineLevel="0" collapsed="false">
      <c r="A58" s="25" t="s">
        <v>64</v>
      </c>
      <c r="B58" s="25" t="s">
        <v>65</v>
      </c>
      <c r="C58" s="26" t="n">
        <v>46296</v>
      </c>
      <c r="D58" s="25" t="n">
        <v>5</v>
      </c>
      <c r="E58" s="25" t="s">
        <v>74</v>
      </c>
      <c r="F58" s="25"/>
    </row>
    <row r="59" customFormat="false" ht="15" hidden="false" customHeight="false" outlineLevel="0" collapsed="false">
      <c r="A59" s="25" t="s">
        <v>64</v>
      </c>
      <c r="B59" s="25" t="s">
        <v>65</v>
      </c>
      <c r="C59" s="26" t="n">
        <v>46327</v>
      </c>
      <c r="D59" s="25" t="n">
        <v>6</v>
      </c>
      <c r="E59" s="25" t="s">
        <v>75</v>
      </c>
      <c r="F59" s="25"/>
    </row>
    <row r="60" customFormat="false" ht="15" hidden="false" customHeight="false" outlineLevel="0" collapsed="false">
      <c r="A60" s="25" t="s">
        <v>64</v>
      </c>
      <c r="B60" s="25" t="s">
        <v>65</v>
      </c>
      <c r="C60" s="26" t="n">
        <v>46357</v>
      </c>
      <c r="D60" s="25" t="n">
        <v>7</v>
      </c>
      <c r="E60" s="25" t="s">
        <v>75</v>
      </c>
      <c r="F60" s="25"/>
    </row>
    <row r="61" customFormat="false" ht="15" hidden="false" customHeight="false" outlineLevel="0" collapsed="false">
      <c r="A61" s="25" t="s">
        <v>64</v>
      </c>
      <c r="B61" s="25" t="s">
        <v>65</v>
      </c>
      <c r="C61" s="26" t="n">
        <v>46388</v>
      </c>
      <c r="D61" s="25" t="n">
        <v>6</v>
      </c>
      <c r="E61" s="25" t="s">
        <v>75</v>
      </c>
      <c r="F61" s="25"/>
    </row>
    <row r="62" customFormat="false" ht="15" hidden="false" customHeight="false" outlineLevel="0" collapsed="false">
      <c r="A62" s="25" t="s">
        <v>64</v>
      </c>
      <c r="B62" s="25" t="s">
        <v>65</v>
      </c>
      <c r="C62" s="26" t="n">
        <v>46419</v>
      </c>
      <c r="D62" s="25" t="n">
        <v>7</v>
      </c>
      <c r="E62" s="25" t="s">
        <v>75</v>
      </c>
      <c r="F62" s="25"/>
    </row>
    <row r="63" customFormat="false" ht="15" hidden="false" customHeight="false" outlineLevel="0" collapsed="false">
      <c r="A63" s="25" t="s">
        <v>64</v>
      </c>
      <c r="B63" s="25" t="s">
        <v>65</v>
      </c>
      <c r="C63" s="26" t="n">
        <v>46447</v>
      </c>
      <c r="D63" s="25" t="n">
        <v>7</v>
      </c>
      <c r="E63" s="25" t="s">
        <v>75</v>
      </c>
      <c r="F63" s="25"/>
    </row>
    <row r="64" customFormat="false" ht="15" hidden="false" customHeight="false" outlineLevel="0" collapsed="false">
      <c r="A64" s="25" t="s">
        <v>64</v>
      </c>
      <c r="B64" s="25" t="s">
        <v>65</v>
      </c>
      <c r="C64" s="26" t="n">
        <v>46478</v>
      </c>
      <c r="D64" s="25" t="n">
        <v>6</v>
      </c>
      <c r="E64" s="25" t="s">
        <v>75</v>
      </c>
      <c r="F64" s="25"/>
    </row>
    <row r="65" customFormat="false" ht="15" hidden="false" customHeight="false" outlineLevel="0" collapsed="false">
      <c r="A65" s="25" t="s">
        <v>64</v>
      </c>
      <c r="B65" s="25" t="s">
        <v>65</v>
      </c>
      <c r="C65" s="26" t="n">
        <v>46508</v>
      </c>
      <c r="D65" s="25" t="n">
        <v>5</v>
      </c>
      <c r="E65" s="25" t="s">
        <v>75</v>
      </c>
      <c r="F65" s="25"/>
    </row>
    <row r="66" customFormat="false" ht="15" hidden="false" customHeight="false" outlineLevel="0" collapsed="false">
      <c r="A66" s="25" t="s">
        <v>64</v>
      </c>
      <c r="B66" s="25" t="s">
        <v>65</v>
      </c>
      <c r="C66" s="26" t="n">
        <v>46539</v>
      </c>
      <c r="D66" s="25" t="n">
        <v>5</v>
      </c>
      <c r="E66" s="25" t="s">
        <v>75</v>
      </c>
      <c r="F66" s="25"/>
    </row>
    <row r="67" customFormat="false" ht="15" hidden="false" customHeight="false" outlineLevel="0" collapsed="false">
      <c r="A67" s="25" t="s">
        <v>64</v>
      </c>
      <c r="B67" s="25" t="s">
        <v>65</v>
      </c>
      <c r="C67" s="26" t="n">
        <v>46569</v>
      </c>
      <c r="D67" s="25" t="n">
        <v>4</v>
      </c>
      <c r="E67" s="25" t="s">
        <v>75</v>
      </c>
      <c r="F67" s="25"/>
    </row>
    <row r="68" customFormat="false" ht="15" hidden="false" customHeight="false" outlineLevel="0" collapsed="false">
      <c r="A68" s="25" t="s">
        <v>64</v>
      </c>
      <c r="B68" s="25" t="s">
        <v>65</v>
      </c>
      <c r="C68" s="26" t="n">
        <v>46600</v>
      </c>
      <c r="D68" s="25" t="n">
        <v>5</v>
      </c>
      <c r="E68" s="25" t="s">
        <v>75</v>
      </c>
      <c r="F68" s="25"/>
    </row>
    <row r="69" customFormat="false" ht="15" hidden="false" customHeight="false" outlineLevel="0" collapsed="false">
      <c r="A69" s="25" t="s">
        <v>64</v>
      </c>
      <c r="B69" s="25" t="s">
        <v>65</v>
      </c>
      <c r="C69" s="26" t="n">
        <v>46631</v>
      </c>
      <c r="D69" s="25" t="n">
        <v>6</v>
      </c>
      <c r="E69" s="25" t="s">
        <v>75</v>
      </c>
      <c r="F69" s="25"/>
    </row>
    <row r="70" customFormat="false" ht="15" hidden="false" customHeight="false" outlineLevel="0" collapsed="false">
      <c r="A70" s="25" t="s">
        <v>64</v>
      </c>
      <c r="B70" s="25" t="s">
        <v>65</v>
      </c>
      <c r="C70" s="26" t="n">
        <v>46661</v>
      </c>
      <c r="D70" s="25" t="n">
        <v>6</v>
      </c>
      <c r="E70" s="25" t="s">
        <v>75</v>
      </c>
      <c r="F70" s="25"/>
    </row>
    <row r="71" customFormat="false" ht="15" hidden="false" customHeight="false" outlineLevel="0" collapsed="false">
      <c r="A71" s="25" t="s">
        <v>64</v>
      </c>
      <c r="B71" s="25" t="s">
        <v>65</v>
      </c>
      <c r="C71" s="26" t="n">
        <v>46692</v>
      </c>
      <c r="D71" s="25" t="n">
        <v>6</v>
      </c>
      <c r="E71" s="25" t="s">
        <v>75</v>
      </c>
      <c r="F71" s="25"/>
    </row>
    <row r="72" customFormat="false" ht="15" hidden="false" customHeight="false" outlineLevel="0" collapsed="false">
      <c r="A72" s="25" t="s">
        <v>64</v>
      </c>
      <c r="B72" s="25" t="s">
        <v>65</v>
      </c>
      <c r="C72" s="26" t="n">
        <v>46722</v>
      </c>
      <c r="D72" s="25" t="n">
        <v>7</v>
      </c>
      <c r="E72" s="25" t="s">
        <v>75</v>
      </c>
      <c r="F72" s="25"/>
    </row>
    <row r="73" customFormat="false" ht="15" hidden="false" customHeight="false" outlineLevel="0" collapsed="false">
      <c r="A73" s="25" t="s">
        <v>64</v>
      </c>
      <c r="B73" s="25" t="s">
        <v>65</v>
      </c>
      <c r="C73" s="26" t="n">
        <v>46753</v>
      </c>
      <c r="D73" s="25" t="n">
        <v>6</v>
      </c>
      <c r="E73" s="25" t="s">
        <v>75</v>
      </c>
      <c r="F73" s="25"/>
    </row>
    <row r="74" customFormat="false" ht="15" hidden="false" customHeight="false" outlineLevel="0" collapsed="false">
      <c r="A74" s="25" t="s">
        <v>64</v>
      </c>
      <c r="B74" s="25" t="s">
        <v>66</v>
      </c>
      <c r="C74" s="26" t="n">
        <v>46235</v>
      </c>
      <c r="D74" s="25" t="n">
        <v>8</v>
      </c>
      <c r="E74" s="25" t="s">
        <v>74</v>
      </c>
      <c r="F74" s="25"/>
    </row>
    <row r="75" customFormat="false" ht="15" hidden="false" customHeight="false" outlineLevel="0" collapsed="false">
      <c r="A75" s="25" t="s">
        <v>64</v>
      </c>
      <c r="B75" s="25" t="s">
        <v>66</v>
      </c>
      <c r="C75" s="26" t="n">
        <v>46266</v>
      </c>
      <c r="D75" s="25" t="n">
        <v>10</v>
      </c>
      <c r="E75" s="25" t="s">
        <v>74</v>
      </c>
      <c r="F75" s="25"/>
    </row>
    <row r="76" customFormat="false" ht="15" hidden="false" customHeight="false" outlineLevel="0" collapsed="false">
      <c r="A76" s="25" t="s">
        <v>64</v>
      </c>
      <c r="B76" s="25" t="s">
        <v>66</v>
      </c>
      <c r="C76" s="26" t="n">
        <v>46296</v>
      </c>
      <c r="D76" s="25" t="n">
        <v>9</v>
      </c>
      <c r="E76" s="25" t="s">
        <v>74</v>
      </c>
      <c r="F76" s="25"/>
    </row>
    <row r="77" customFormat="false" ht="15" hidden="false" customHeight="false" outlineLevel="0" collapsed="false">
      <c r="A77" s="25" t="s">
        <v>64</v>
      </c>
      <c r="B77" s="25" t="s">
        <v>66</v>
      </c>
      <c r="C77" s="26" t="n">
        <v>46327</v>
      </c>
      <c r="D77" s="25" t="n">
        <v>10</v>
      </c>
      <c r="E77" s="25" t="s">
        <v>75</v>
      </c>
      <c r="F77" s="25"/>
    </row>
    <row r="78" customFormat="false" ht="15" hidden="false" customHeight="false" outlineLevel="0" collapsed="false">
      <c r="A78" s="25" t="s">
        <v>64</v>
      </c>
      <c r="B78" s="25" t="s">
        <v>66</v>
      </c>
      <c r="C78" s="26" t="n">
        <v>46357</v>
      </c>
      <c r="D78" s="25" t="n">
        <v>12</v>
      </c>
      <c r="E78" s="25" t="s">
        <v>75</v>
      </c>
      <c r="F78" s="25"/>
    </row>
    <row r="79" customFormat="false" ht="15" hidden="false" customHeight="false" outlineLevel="0" collapsed="false">
      <c r="A79" s="25" t="s">
        <v>64</v>
      </c>
      <c r="B79" s="25" t="s">
        <v>66</v>
      </c>
      <c r="C79" s="26" t="n">
        <v>46388</v>
      </c>
      <c r="D79" s="25" t="n">
        <v>10</v>
      </c>
      <c r="E79" s="25" t="s">
        <v>75</v>
      </c>
      <c r="F79" s="25"/>
    </row>
    <row r="80" customFormat="false" ht="15" hidden="false" customHeight="false" outlineLevel="0" collapsed="false">
      <c r="A80" s="25" t="s">
        <v>64</v>
      </c>
      <c r="B80" s="25" t="s">
        <v>66</v>
      </c>
      <c r="C80" s="26" t="n">
        <v>46419</v>
      </c>
      <c r="D80" s="25" t="n">
        <v>12</v>
      </c>
      <c r="E80" s="25" t="s">
        <v>75</v>
      </c>
      <c r="F80" s="25"/>
    </row>
    <row r="81" customFormat="false" ht="15" hidden="false" customHeight="false" outlineLevel="0" collapsed="false">
      <c r="A81" s="25" t="s">
        <v>64</v>
      </c>
      <c r="B81" s="25" t="s">
        <v>66</v>
      </c>
      <c r="C81" s="26" t="n">
        <v>46447</v>
      </c>
      <c r="D81" s="25" t="n">
        <v>11</v>
      </c>
      <c r="E81" s="25" t="s">
        <v>75</v>
      </c>
      <c r="F81" s="25"/>
    </row>
    <row r="82" customFormat="false" ht="15" hidden="false" customHeight="false" outlineLevel="0" collapsed="false">
      <c r="A82" s="25" t="s">
        <v>64</v>
      </c>
      <c r="B82" s="25" t="s">
        <v>66</v>
      </c>
      <c r="C82" s="26" t="n">
        <v>46478</v>
      </c>
      <c r="D82" s="25" t="n">
        <v>10</v>
      </c>
      <c r="E82" s="25" t="s">
        <v>75</v>
      </c>
      <c r="F82" s="25"/>
    </row>
    <row r="83" customFormat="false" ht="15" hidden="false" customHeight="false" outlineLevel="0" collapsed="false">
      <c r="A83" s="25" t="s">
        <v>64</v>
      </c>
      <c r="B83" s="25" t="s">
        <v>66</v>
      </c>
      <c r="C83" s="26" t="n">
        <v>46508</v>
      </c>
      <c r="D83" s="25" t="n">
        <v>9</v>
      </c>
      <c r="E83" s="25" t="s">
        <v>75</v>
      </c>
      <c r="F83" s="25"/>
    </row>
    <row r="84" customFormat="false" ht="15" hidden="false" customHeight="false" outlineLevel="0" collapsed="false">
      <c r="A84" s="25" t="s">
        <v>64</v>
      </c>
      <c r="B84" s="25" t="s">
        <v>66</v>
      </c>
      <c r="C84" s="26" t="n">
        <v>46539</v>
      </c>
      <c r="D84" s="25" t="n">
        <v>8</v>
      </c>
      <c r="E84" s="25" t="s">
        <v>75</v>
      </c>
      <c r="F84" s="25"/>
    </row>
    <row r="85" customFormat="false" ht="15" hidden="false" customHeight="false" outlineLevel="0" collapsed="false">
      <c r="A85" s="25" t="s">
        <v>64</v>
      </c>
      <c r="B85" s="25" t="s">
        <v>66</v>
      </c>
      <c r="C85" s="26" t="n">
        <v>46569</v>
      </c>
      <c r="D85" s="25" t="n">
        <v>8</v>
      </c>
      <c r="E85" s="25" t="s">
        <v>75</v>
      </c>
      <c r="F85" s="25"/>
    </row>
    <row r="86" customFormat="false" ht="15" hidden="false" customHeight="false" outlineLevel="0" collapsed="false">
      <c r="A86" s="25" t="s">
        <v>64</v>
      </c>
      <c r="B86" s="25" t="s">
        <v>66</v>
      </c>
      <c r="C86" s="26" t="n">
        <v>46600</v>
      </c>
      <c r="D86" s="25" t="n">
        <v>8</v>
      </c>
      <c r="E86" s="25" t="s">
        <v>75</v>
      </c>
      <c r="F86" s="25"/>
    </row>
    <row r="87" customFormat="false" ht="15" hidden="false" customHeight="false" outlineLevel="0" collapsed="false">
      <c r="A87" s="25" t="s">
        <v>64</v>
      </c>
      <c r="B87" s="25" t="s">
        <v>66</v>
      </c>
      <c r="C87" s="26" t="n">
        <v>46631</v>
      </c>
      <c r="D87" s="25" t="n">
        <v>10</v>
      </c>
      <c r="E87" s="25" t="s">
        <v>75</v>
      </c>
      <c r="F87" s="25"/>
    </row>
    <row r="88" customFormat="false" ht="15" hidden="false" customHeight="false" outlineLevel="0" collapsed="false">
      <c r="A88" s="25" t="s">
        <v>64</v>
      </c>
      <c r="B88" s="25" t="s">
        <v>66</v>
      </c>
      <c r="C88" s="26" t="n">
        <v>46661</v>
      </c>
      <c r="D88" s="25" t="n">
        <v>10</v>
      </c>
      <c r="E88" s="25" t="s">
        <v>75</v>
      </c>
      <c r="F88" s="25"/>
    </row>
    <row r="89" customFormat="false" ht="15" hidden="false" customHeight="false" outlineLevel="0" collapsed="false">
      <c r="A89" s="25" t="s">
        <v>64</v>
      </c>
      <c r="B89" s="25" t="s">
        <v>66</v>
      </c>
      <c r="C89" s="26" t="n">
        <v>46692</v>
      </c>
      <c r="D89" s="25" t="n">
        <v>10</v>
      </c>
      <c r="E89" s="25" t="s">
        <v>75</v>
      </c>
      <c r="F89" s="25"/>
    </row>
    <row r="90" customFormat="false" ht="15" hidden="false" customHeight="false" outlineLevel="0" collapsed="false">
      <c r="A90" s="25" t="s">
        <v>64</v>
      </c>
      <c r="B90" s="25" t="s">
        <v>66</v>
      </c>
      <c r="C90" s="26" t="n">
        <v>46722</v>
      </c>
      <c r="D90" s="25" t="n">
        <v>12</v>
      </c>
      <c r="E90" s="25" t="s">
        <v>75</v>
      </c>
      <c r="F90" s="25"/>
    </row>
    <row r="91" customFormat="false" ht="15" hidden="false" customHeight="false" outlineLevel="0" collapsed="false">
      <c r="A91" s="25" t="s">
        <v>64</v>
      </c>
      <c r="B91" s="25" t="s">
        <v>66</v>
      </c>
      <c r="C91" s="26" t="n">
        <v>46753</v>
      </c>
      <c r="D91" s="25" t="n">
        <v>10</v>
      </c>
      <c r="E91" s="25" t="s">
        <v>75</v>
      </c>
      <c r="F91" s="25"/>
    </row>
    <row r="92" customFormat="false" ht="15" hidden="false" customHeight="false" outlineLevel="0" collapsed="false">
      <c r="A92" s="25" t="s">
        <v>64</v>
      </c>
      <c r="B92" s="25" t="s">
        <v>67</v>
      </c>
      <c r="C92" s="26" t="n">
        <v>46235</v>
      </c>
      <c r="D92" s="25" t="n">
        <v>6</v>
      </c>
      <c r="E92" s="25" t="s">
        <v>74</v>
      </c>
      <c r="F92" s="25"/>
    </row>
    <row r="93" customFormat="false" ht="15" hidden="false" customHeight="false" outlineLevel="0" collapsed="false">
      <c r="A93" s="25" t="s">
        <v>64</v>
      </c>
      <c r="B93" s="25" t="s">
        <v>67</v>
      </c>
      <c r="C93" s="26" t="n">
        <v>46266</v>
      </c>
      <c r="D93" s="25" t="n">
        <v>8</v>
      </c>
      <c r="E93" s="25" t="s">
        <v>74</v>
      </c>
      <c r="F93" s="25"/>
    </row>
    <row r="94" customFormat="false" ht="15" hidden="false" customHeight="false" outlineLevel="0" collapsed="false">
      <c r="A94" s="25" t="s">
        <v>64</v>
      </c>
      <c r="B94" s="25" t="s">
        <v>67</v>
      </c>
      <c r="C94" s="26" t="n">
        <v>46296</v>
      </c>
      <c r="D94" s="25" t="n">
        <v>9</v>
      </c>
      <c r="E94" s="25" t="s">
        <v>74</v>
      </c>
      <c r="F94" s="25"/>
    </row>
    <row r="95" customFormat="false" ht="15" hidden="false" customHeight="false" outlineLevel="0" collapsed="false">
      <c r="A95" s="25" t="s">
        <v>64</v>
      </c>
      <c r="B95" s="25" t="s">
        <v>67</v>
      </c>
      <c r="C95" s="26" t="n">
        <v>46327</v>
      </c>
      <c r="D95" s="25" t="n">
        <v>8</v>
      </c>
      <c r="E95" s="25" t="s">
        <v>75</v>
      </c>
      <c r="F95" s="25"/>
    </row>
    <row r="96" customFormat="false" ht="15" hidden="false" customHeight="false" outlineLevel="0" collapsed="false">
      <c r="A96" s="25" t="s">
        <v>64</v>
      </c>
      <c r="B96" s="25" t="s">
        <v>67</v>
      </c>
      <c r="C96" s="26" t="n">
        <v>46357</v>
      </c>
      <c r="D96" s="25" t="n">
        <v>9</v>
      </c>
      <c r="E96" s="25" t="s">
        <v>75</v>
      </c>
      <c r="F96" s="25"/>
    </row>
    <row r="97" customFormat="false" ht="15" hidden="false" customHeight="false" outlineLevel="0" collapsed="false">
      <c r="A97" s="25" t="s">
        <v>64</v>
      </c>
      <c r="B97" s="25" t="s">
        <v>67</v>
      </c>
      <c r="C97" s="26" t="n">
        <v>46388</v>
      </c>
      <c r="D97" s="25" t="n">
        <v>8</v>
      </c>
      <c r="E97" s="25" t="s">
        <v>75</v>
      </c>
      <c r="F97" s="25"/>
    </row>
    <row r="98" customFormat="false" ht="15" hidden="false" customHeight="false" outlineLevel="0" collapsed="false">
      <c r="A98" s="25" t="s">
        <v>64</v>
      </c>
      <c r="B98" s="25" t="s">
        <v>67</v>
      </c>
      <c r="C98" s="26" t="n">
        <v>46419</v>
      </c>
      <c r="D98" s="25" t="n">
        <v>10</v>
      </c>
      <c r="E98" s="25" t="s">
        <v>75</v>
      </c>
      <c r="F98" s="25"/>
    </row>
    <row r="99" customFormat="false" ht="15" hidden="false" customHeight="false" outlineLevel="0" collapsed="false">
      <c r="A99" s="25" t="s">
        <v>64</v>
      </c>
      <c r="B99" s="25" t="s">
        <v>67</v>
      </c>
      <c r="C99" s="26" t="n">
        <v>46447</v>
      </c>
      <c r="D99" s="25" t="n">
        <v>9</v>
      </c>
      <c r="E99" s="25" t="s">
        <v>75</v>
      </c>
      <c r="F99" s="25"/>
    </row>
    <row r="100" customFormat="false" ht="15" hidden="false" customHeight="false" outlineLevel="0" collapsed="false">
      <c r="A100" s="25" t="s">
        <v>64</v>
      </c>
      <c r="B100" s="25" t="s">
        <v>67</v>
      </c>
      <c r="C100" s="26" t="n">
        <v>46478</v>
      </c>
      <c r="D100" s="25" t="n">
        <v>8</v>
      </c>
      <c r="E100" s="25" t="s">
        <v>75</v>
      </c>
      <c r="F100" s="25"/>
    </row>
    <row r="101" customFormat="false" ht="15" hidden="false" customHeight="false" outlineLevel="0" collapsed="false">
      <c r="A101" s="25" t="s">
        <v>64</v>
      </c>
      <c r="B101" s="25" t="s">
        <v>67</v>
      </c>
      <c r="C101" s="26" t="n">
        <v>46508</v>
      </c>
      <c r="D101" s="25" t="n">
        <v>7</v>
      </c>
      <c r="E101" s="25" t="s">
        <v>75</v>
      </c>
      <c r="F101" s="25"/>
    </row>
    <row r="102" customFormat="false" ht="15" hidden="false" customHeight="false" outlineLevel="0" collapsed="false">
      <c r="A102" s="25" t="s">
        <v>64</v>
      </c>
      <c r="B102" s="25" t="s">
        <v>67</v>
      </c>
      <c r="C102" s="26" t="n">
        <v>46539</v>
      </c>
      <c r="D102" s="25" t="n">
        <v>6</v>
      </c>
      <c r="E102" s="25" t="s">
        <v>75</v>
      </c>
      <c r="F102" s="25"/>
    </row>
    <row r="103" customFormat="false" ht="15" hidden="false" customHeight="false" outlineLevel="0" collapsed="false">
      <c r="A103" s="25" t="s">
        <v>64</v>
      </c>
      <c r="B103" s="25" t="s">
        <v>67</v>
      </c>
      <c r="C103" s="26" t="n">
        <v>46569</v>
      </c>
      <c r="D103" s="25" t="n">
        <v>6</v>
      </c>
      <c r="E103" s="25" t="s">
        <v>75</v>
      </c>
      <c r="F103" s="25"/>
    </row>
    <row r="104" customFormat="false" ht="15" hidden="false" customHeight="false" outlineLevel="0" collapsed="false">
      <c r="A104" s="25" t="s">
        <v>64</v>
      </c>
      <c r="B104" s="25" t="s">
        <v>67</v>
      </c>
      <c r="C104" s="26" t="n">
        <v>46600</v>
      </c>
      <c r="D104" s="25" t="n">
        <v>6</v>
      </c>
      <c r="E104" s="25" t="s">
        <v>75</v>
      </c>
      <c r="F104" s="25"/>
    </row>
    <row r="105" customFormat="false" ht="15" hidden="false" customHeight="false" outlineLevel="0" collapsed="false">
      <c r="A105" s="25" t="s">
        <v>64</v>
      </c>
      <c r="B105" s="25" t="s">
        <v>67</v>
      </c>
      <c r="C105" s="26" t="n">
        <v>46631</v>
      </c>
      <c r="D105" s="25" t="n">
        <v>8</v>
      </c>
      <c r="E105" s="25" t="s">
        <v>75</v>
      </c>
      <c r="F105" s="25"/>
    </row>
    <row r="106" customFormat="false" ht="15" hidden="false" customHeight="false" outlineLevel="0" collapsed="false">
      <c r="A106" s="25" t="s">
        <v>64</v>
      </c>
      <c r="B106" s="25" t="s">
        <v>67</v>
      </c>
      <c r="C106" s="26" t="n">
        <v>46661</v>
      </c>
      <c r="D106" s="25" t="n">
        <v>8</v>
      </c>
      <c r="E106" s="25" t="s">
        <v>75</v>
      </c>
      <c r="F106" s="25"/>
    </row>
    <row r="107" customFormat="false" ht="15" hidden="false" customHeight="false" outlineLevel="0" collapsed="false">
      <c r="A107" s="25" t="s">
        <v>64</v>
      </c>
      <c r="B107" s="25" t="s">
        <v>67</v>
      </c>
      <c r="C107" s="26" t="n">
        <v>46692</v>
      </c>
      <c r="D107" s="25" t="n">
        <v>8</v>
      </c>
      <c r="E107" s="25" t="s">
        <v>75</v>
      </c>
      <c r="F107" s="25"/>
    </row>
    <row r="108" customFormat="false" ht="15" hidden="false" customHeight="false" outlineLevel="0" collapsed="false">
      <c r="A108" s="25" t="s">
        <v>64</v>
      </c>
      <c r="B108" s="25" t="s">
        <v>67</v>
      </c>
      <c r="C108" s="26" t="n">
        <v>46722</v>
      </c>
      <c r="D108" s="25" t="n">
        <v>9</v>
      </c>
      <c r="E108" s="25" t="s">
        <v>75</v>
      </c>
      <c r="F108" s="25"/>
    </row>
    <row r="109" customFormat="false" ht="15" hidden="false" customHeight="false" outlineLevel="0" collapsed="false">
      <c r="A109" s="25" t="s">
        <v>64</v>
      </c>
      <c r="B109" s="25" t="s">
        <v>67</v>
      </c>
      <c r="C109" s="26" t="n">
        <v>46753</v>
      </c>
      <c r="D109" s="25" t="n">
        <v>8</v>
      </c>
      <c r="E109" s="25" t="s">
        <v>75</v>
      </c>
      <c r="F109" s="25"/>
    </row>
    <row r="110" customFormat="false" ht="15" hidden="false" customHeight="false" outlineLevel="0" collapsed="false">
      <c r="A110" s="25" t="s">
        <v>64</v>
      </c>
      <c r="B110" s="25" t="s">
        <v>68</v>
      </c>
      <c r="C110" s="26" t="n">
        <v>46235</v>
      </c>
      <c r="D110" s="25" t="n">
        <v>6</v>
      </c>
      <c r="E110" s="25" t="s">
        <v>74</v>
      </c>
      <c r="F110" s="25"/>
    </row>
    <row r="111" customFormat="false" ht="15" hidden="false" customHeight="false" outlineLevel="0" collapsed="false">
      <c r="A111" s="25" t="s">
        <v>64</v>
      </c>
      <c r="B111" s="25" t="s">
        <v>68</v>
      </c>
      <c r="C111" s="26" t="n">
        <v>46266</v>
      </c>
      <c r="D111" s="25" t="n">
        <v>6</v>
      </c>
      <c r="E111" s="25" t="s">
        <v>74</v>
      </c>
      <c r="F111" s="25"/>
    </row>
    <row r="112" customFormat="false" ht="15" hidden="false" customHeight="false" outlineLevel="0" collapsed="false">
      <c r="A112" s="25" t="s">
        <v>64</v>
      </c>
      <c r="B112" s="25" t="s">
        <v>68</v>
      </c>
      <c r="C112" s="26" t="n">
        <v>46296</v>
      </c>
      <c r="D112" s="25" t="n">
        <v>8</v>
      </c>
      <c r="E112" s="25" t="s">
        <v>74</v>
      </c>
      <c r="F112" s="25"/>
    </row>
    <row r="113" customFormat="false" ht="15" hidden="false" customHeight="false" outlineLevel="0" collapsed="false">
      <c r="A113" s="25" t="s">
        <v>64</v>
      </c>
      <c r="B113" s="25" t="s">
        <v>68</v>
      </c>
      <c r="C113" s="26" t="n">
        <v>46327</v>
      </c>
      <c r="D113" s="25" t="n">
        <v>7</v>
      </c>
      <c r="E113" s="25" t="s">
        <v>75</v>
      </c>
      <c r="F113" s="25"/>
    </row>
    <row r="114" customFormat="false" ht="15" hidden="false" customHeight="false" outlineLevel="0" collapsed="false">
      <c r="A114" s="25" t="s">
        <v>64</v>
      </c>
      <c r="B114" s="25" t="s">
        <v>68</v>
      </c>
      <c r="C114" s="26" t="n">
        <v>46357</v>
      </c>
      <c r="D114" s="25" t="n">
        <v>8</v>
      </c>
      <c r="E114" s="25" t="s">
        <v>75</v>
      </c>
      <c r="F114" s="25"/>
    </row>
    <row r="115" customFormat="false" ht="15" hidden="false" customHeight="false" outlineLevel="0" collapsed="false">
      <c r="A115" s="25" t="s">
        <v>64</v>
      </c>
      <c r="B115" s="25" t="s">
        <v>68</v>
      </c>
      <c r="C115" s="26" t="n">
        <v>46388</v>
      </c>
      <c r="D115" s="25" t="n">
        <v>7</v>
      </c>
      <c r="E115" s="25" t="s">
        <v>75</v>
      </c>
      <c r="F115" s="25"/>
    </row>
    <row r="116" customFormat="false" ht="15" hidden="false" customHeight="false" outlineLevel="0" collapsed="false">
      <c r="A116" s="25" t="s">
        <v>64</v>
      </c>
      <c r="B116" s="25" t="s">
        <v>68</v>
      </c>
      <c r="C116" s="26" t="n">
        <v>46419</v>
      </c>
      <c r="D116" s="25" t="n">
        <v>8</v>
      </c>
      <c r="E116" s="25" t="s">
        <v>75</v>
      </c>
      <c r="F116" s="25"/>
    </row>
    <row r="117" customFormat="false" ht="15" hidden="false" customHeight="false" outlineLevel="0" collapsed="false">
      <c r="A117" s="25" t="s">
        <v>64</v>
      </c>
      <c r="B117" s="25" t="s">
        <v>68</v>
      </c>
      <c r="C117" s="26" t="n">
        <v>46447</v>
      </c>
      <c r="D117" s="25" t="n">
        <v>8</v>
      </c>
      <c r="E117" s="25" t="s">
        <v>75</v>
      </c>
      <c r="F117" s="25"/>
    </row>
    <row r="118" customFormat="false" ht="15" hidden="false" customHeight="false" outlineLevel="0" collapsed="false">
      <c r="A118" s="25" t="s">
        <v>64</v>
      </c>
      <c r="B118" s="25" t="s">
        <v>68</v>
      </c>
      <c r="C118" s="26" t="n">
        <v>46478</v>
      </c>
      <c r="D118" s="25" t="n">
        <v>7</v>
      </c>
      <c r="E118" s="25" t="s">
        <v>75</v>
      </c>
      <c r="F118" s="25"/>
    </row>
    <row r="119" customFormat="false" ht="15" hidden="false" customHeight="false" outlineLevel="0" collapsed="false">
      <c r="A119" s="25" t="s">
        <v>64</v>
      </c>
      <c r="B119" s="25" t="s">
        <v>68</v>
      </c>
      <c r="C119" s="26" t="n">
        <v>46508</v>
      </c>
      <c r="D119" s="25" t="n">
        <v>6</v>
      </c>
      <c r="E119" s="25" t="s">
        <v>75</v>
      </c>
      <c r="F119" s="25"/>
    </row>
    <row r="120" customFormat="false" ht="15" hidden="false" customHeight="false" outlineLevel="0" collapsed="false">
      <c r="A120" s="25" t="s">
        <v>64</v>
      </c>
      <c r="B120" s="25" t="s">
        <v>68</v>
      </c>
      <c r="C120" s="26" t="n">
        <v>46539</v>
      </c>
      <c r="D120" s="25" t="n">
        <v>6</v>
      </c>
      <c r="E120" s="25" t="s">
        <v>75</v>
      </c>
      <c r="F120" s="25"/>
    </row>
    <row r="121" customFormat="false" ht="15" hidden="false" customHeight="false" outlineLevel="0" collapsed="false">
      <c r="A121" s="25" t="s">
        <v>64</v>
      </c>
      <c r="B121" s="25" t="s">
        <v>68</v>
      </c>
      <c r="C121" s="26" t="n">
        <v>46569</v>
      </c>
      <c r="D121" s="25" t="n">
        <v>5</v>
      </c>
      <c r="E121" s="25" t="s">
        <v>75</v>
      </c>
      <c r="F121" s="25"/>
    </row>
    <row r="122" customFormat="false" ht="15" hidden="false" customHeight="false" outlineLevel="0" collapsed="false">
      <c r="A122" s="25" t="s">
        <v>64</v>
      </c>
      <c r="B122" s="25" t="s">
        <v>68</v>
      </c>
      <c r="C122" s="26" t="n">
        <v>46600</v>
      </c>
      <c r="D122" s="25" t="n">
        <v>6</v>
      </c>
      <c r="E122" s="25" t="s">
        <v>75</v>
      </c>
      <c r="F122" s="25"/>
    </row>
    <row r="123" customFormat="false" ht="15" hidden="false" customHeight="false" outlineLevel="0" collapsed="false">
      <c r="A123" s="25" t="s">
        <v>64</v>
      </c>
      <c r="B123" s="25" t="s">
        <v>68</v>
      </c>
      <c r="C123" s="26" t="n">
        <v>46631</v>
      </c>
      <c r="D123" s="25" t="n">
        <v>7</v>
      </c>
      <c r="E123" s="25" t="s">
        <v>75</v>
      </c>
      <c r="F123" s="25"/>
    </row>
    <row r="124" customFormat="false" ht="15" hidden="false" customHeight="false" outlineLevel="0" collapsed="false">
      <c r="A124" s="25" t="s">
        <v>64</v>
      </c>
      <c r="B124" s="25" t="s">
        <v>68</v>
      </c>
      <c r="C124" s="26" t="n">
        <v>46661</v>
      </c>
      <c r="D124" s="25" t="n">
        <v>7</v>
      </c>
      <c r="E124" s="25" t="s">
        <v>75</v>
      </c>
      <c r="F124" s="25"/>
    </row>
    <row r="125" customFormat="false" ht="15" hidden="false" customHeight="false" outlineLevel="0" collapsed="false">
      <c r="A125" s="25" t="s">
        <v>64</v>
      </c>
      <c r="B125" s="25" t="s">
        <v>68</v>
      </c>
      <c r="C125" s="26" t="n">
        <v>46692</v>
      </c>
      <c r="D125" s="25" t="n">
        <v>7</v>
      </c>
      <c r="E125" s="25" t="s">
        <v>75</v>
      </c>
      <c r="F125" s="25"/>
    </row>
    <row r="126" customFormat="false" ht="15" hidden="false" customHeight="false" outlineLevel="0" collapsed="false">
      <c r="A126" s="25" t="s">
        <v>64</v>
      </c>
      <c r="B126" s="25" t="s">
        <v>68</v>
      </c>
      <c r="C126" s="26" t="n">
        <v>46722</v>
      </c>
      <c r="D126" s="25" t="n">
        <v>8</v>
      </c>
      <c r="E126" s="25" t="s">
        <v>75</v>
      </c>
      <c r="F126" s="25"/>
    </row>
    <row r="127" customFormat="false" ht="15" hidden="false" customHeight="false" outlineLevel="0" collapsed="false">
      <c r="A127" s="25" t="s">
        <v>64</v>
      </c>
      <c r="B127" s="25" t="s">
        <v>68</v>
      </c>
      <c r="C127" s="26" t="n">
        <v>46753</v>
      </c>
      <c r="D127" s="25" t="n">
        <v>7</v>
      </c>
      <c r="E127" s="25" t="s">
        <v>75</v>
      </c>
      <c r="F127" s="25"/>
    </row>
    <row r="128" customFormat="false" ht="15" hidden="false" customHeight="false" outlineLevel="0" collapsed="false">
      <c r="A128" s="25" t="s">
        <v>64</v>
      </c>
      <c r="B128" s="25" t="s">
        <v>69</v>
      </c>
      <c r="C128" s="26" t="n">
        <v>46235</v>
      </c>
      <c r="D128" s="25" t="n">
        <v>3</v>
      </c>
      <c r="E128" s="25" t="s">
        <v>74</v>
      </c>
      <c r="F128" s="25"/>
    </row>
    <row r="129" customFormat="false" ht="15" hidden="false" customHeight="false" outlineLevel="0" collapsed="false">
      <c r="A129" s="25" t="s">
        <v>64</v>
      </c>
      <c r="B129" s="25" t="s">
        <v>69</v>
      </c>
      <c r="C129" s="26" t="n">
        <v>46266</v>
      </c>
      <c r="D129" s="25" t="n">
        <v>4</v>
      </c>
      <c r="E129" s="25" t="s">
        <v>74</v>
      </c>
      <c r="F129" s="25"/>
    </row>
    <row r="130" customFormat="false" ht="15" hidden="false" customHeight="false" outlineLevel="0" collapsed="false">
      <c r="A130" s="25" t="s">
        <v>64</v>
      </c>
      <c r="B130" s="25" t="s">
        <v>69</v>
      </c>
      <c r="C130" s="26" t="n">
        <v>46296</v>
      </c>
      <c r="D130" s="25" t="n">
        <v>4</v>
      </c>
      <c r="E130" s="25" t="s">
        <v>74</v>
      </c>
      <c r="F130" s="25"/>
    </row>
    <row r="131" customFormat="false" ht="15" hidden="false" customHeight="false" outlineLevel="0" collapsed="false">
      <c r="A131" s="25" t="s">
        <v>64</v>
      </c>
      <c r="B131" s="25" t="s">
        <v>69</v>
      </c>
      <c r="C131" s="26" t="n">
        <v>46327</v>
      </c>
      <c r="D131" s="25" t="n">
        <v>4</v>
      </c>
      <c r="E131" s="25" t="s">
        <v>75</v>
      </c>
      <c r="F131" s="25"/>
    </row>
    <row r="132" customFormat="false" ht="15" hidden="false" customHeight="false" outlineLevel="0" collapsed="false">
      <c r="A132" s="25" t="s">
        <v>64</v>
      </c>
      <c r="B132" s="25" t="s">
        <v>69</v>
      </c>
      <c r="C132" s="26" t="n">
        <v>46357</v>
      </c>
      <c r="D132" s="25" t="n">
        <v>5</v>
      </c>
      <c r="E132" s="25" t="s">
        <v>75</v>
      </c>
      <c r="F132" s="25"/>
    </row>
    <row r="133" customFormat="false" ht="15" hidden="false" customHeight="false" outlineLevel="0" collapsed="false">
      <c r="A133" s="25" t="s">
        <v>64</v>
      </c>
      <c r="B133" s="25" t="s">
        <v>69</v>
      </c>
      <c r="C133" s="26" t="n">
        <v>46388</v>
      </c>
      <c r="D133" s="25" t="n">
        <v>4</v>
      </c>
      <c r="E133" s="25" t="s">
        <v>75</v>
      </c>
      <c r="F133" s="25"/>
    </row>
    <row r="134" customFormat="false" ht="15" hidden="false" customHeight="false" outlineLevel="0" collapsed="false">
      <c r="A134" s="25" t="s">
        <v>64</v>
      </c>
      <c r="B134" s="25" t="s">
        <v>69</v>
      </c>
      <c r="C134" s="26" t="n">
        <v>46419</v>
      </c>
      <c r="D134" s="25" t="n">
        <v>5</v>
      </c>
      <c r="E134" s="25" t="s">
        <v>75</v>
      </c>
      <c r="F134" s="25"/>
    </row>
    <row r="135" customFormat="false" ht="15" hidden="false" customHeight="false" outlineLevel="0" collapsed="false">
      <c r="A135" s="25" t="s">
        <v>64</v>
      </c>
      <c r="B135" s="25" t="s">
        <v>69</v>
      </c>
      <c r="C135" s="26" t="n">
        <v>46447</v>
      </c>
      <c r="D135" s="25" t="n">
        <v>4</v>
      </c>
      <c r="E135" s="25" t="s">
        <v>75</v>
      </c>
      <c r="F135" s="25"/>
    </row>
    <row r="136" customFormat="false" ht="15" hidden="false" customHeight="false" outlineLevel="0" collapsed="false">
      <c r="A136" s="25" t="s">
        <v>64</v>
      </c>
      <c r="B136" s="25" t="s">
        <v>69</v>
      </c>
      <c r="C136" s="26" t="n">
        <v>46478</v>
      </c>
      <c r="D136" s="25" t="n">
        <v>4</v>
      </c>
      <c r="E136" s="25" t="s">
        <v>75</v>
      </c>
      <c r="F136" s="25"/>
    </row>
    <row r="137" customFormat="false" ht="15" hidden="false" customHeight="false" outlineLevel="0" collapsed="false">
      <c r="A137" s="25" t="s">
        <v>64</v>
      </c>
      <c r="B137" s="25" t="s">
        <v>69</v>
      </c>
      <c r="C137" s="26" t="n">
        <v>46508</v>
      </c>
      <c r="D137" s="25" t="n">
        <v>4</v>
      </c>
      <c r="E137" s="25" t="s">
        <v>75</v>
      </c>
      <c r="F137" s="25"/>
    </row>
    <row r="138" customFormat="false" ht="15" hidden="false" customHeight="false" outlineLevel="0" collapsed="false">
      <c r="A138" s="25" t="s">
        <v>64</v>
      </c>
      <c r="B138" s="25" t="s">
        <v>69</v>
      </c>
      <c r="C138" s="26" t="n">
        <v>46539</v>
      </c>
      <c r="D138" s="25" t="n">
        <v>3</v>
      </c>
      <c r="E138" s="25" t="s">
        <v>75</v>
      </c>
      <c r="F138" s="25"/>
    </row>
    <row r="139" customFormat="false" ht="15" hidden="false" customHeight="false" outlineLevel="0" collapsed="false">
      <c r="A139" s="25" t="s">
        <v>64</v>
      </c>
      <c r="B139" s="25" t="s">
        <v>69</v>
      </c>
      <c r="C139" s="26" t="n">
        <v>46569</v>
      </c>
      <c r="D139" s="25" t="n">
        <v>3</v>
      </c>
      <c r="E139" s="25" t="s">
        <v>75</v>
      </c>
      <c r="F139" s="25"/>
    </row>
    <row r="140" customFormat="false" ht="15" hidden="false" customHeight="false" outlineLevel="0" collapsed="false">
      <c r="A140" s="25" t="s">
        <v>64</v>
      </c>
      <c r="B140" s="25" t="s">
        <v>69</v>
      </c>
      <c r="C140" s="26" t="n">
        <v>46600</v>
      </c>
      <c r="D140" s="25" t="n">
        <v>3</v>
      </c>
      <c r="E140" s="25" t="s">
        <v>75</v>
      </c>
      <c r="F140" s="25"/>
    </row>
    <row r="141" customFormat="false" ht="15" hidden="false" customHeight="false" outlineLevel="0" collapsed="false">
      <c r="A141" s="25" t="s">
        <v>64</v>
      </c>
      <c r="B141" s="25" t="s">
        <v>69</v>
      </c>
      <c r="C141" s="26" t="n">
        <v>46631</v>
      </c>
      <c r="D141" s="25" t="n">
        <v>4</v>
      </c>
      <c r="E141" s="25" t="s">
        <v>75</v>
      </c>
      <c r="F141" s="25"/>
    </row>
    <row r="142" customFormat="false" ht="15" hidden="false" customHeight="false" outlineLevel="0" collapsed="false">
      <c r="A142" s="25" t="s">
        <v>64</v>
      </c>
      <c r="B142" s="25" t="s">
        <v>69</v>
      </c>
      <c r="C142" s="26" t="n">
        <v>46661</v>
      </c>
      <c r="D142" s="25" t="n">
        <v>4</v>
      </c>
      <c r="E142" s="25" t="s">
        <v>75</v>
      </c>
      <c r="F142" s="25"/>
    </row>
    <row r="143" customFormat="false" ht="15" hidden="false" customHeight="false" outlineLevel="0" collapsed="false">
      <c r="A143" s="25" t="s">
        <v>64</v>
      </c>
      <c r="B143" s="25" t="s">
        <v>69</v>
      </c>
      <c r="C143" s="26" t="n">
        <v>46692</v>
      </c>
      <c r="D143" s="25" t="n">
        <v>4</v>
      </c>
      <c r="E143" s="25" t="s">
        <v>75</v>
      </c>
      <c r="F143" s="25"/>
    </row>
    <row r="144" customFormat="false" ht="15" hidden="false" customHeight="false" outlineLevel="0" collapsed="false">
      <c r="A144" s="25" t="s">
        <v>64</v>
      </c>
      <c r="B144" s="25" t="s">
        <v>69</v>
      </c>
      <c r="C144" s="26" t="n">
        <v>46722</v>
      </c>
      <c r="D144" s="25" t="n">
        <v>5</v>
      </c>
      <c r="E144" s="25" t="s">
        <v>75</v>
      </c>
      <c r="F144" s="25"/>
    </row>
    <row r="145" customFormat="false" ht="15" hidden="false" customHeight="false" outlineLevel="0" collapsed="false">
      <c r="A145" s="25" t="s">
        <v>64</v>
      </c>
      <c r="B145" s="25" t="s">
        <v>69</v>
      </c>
      <c r="C145" s="26" t="n">
        <v>46753</v>
      </c>
      <c r="D145" s="25" t="n">
        <v>4</v>
      </c>
      <c r="E145" s="25" t="s">
        <v>75</v>
      </c>
      <c r="F145" s="25"/>
    </row>
  </sheetData>
  <dataValidations count="1">
    <dataValidation allowBlank="false" errorStyle="stop" operator="between" showDropDown="false" showErrorMessage="false" showInputMessage="false" sqref="E2:E145" type="list">
      <formula1>"Actual,Forecast"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32"/>
  </cols>
  <sheetData>
    <row r="1" customFormat="false" ht="15" hidden="false" customHeight="false" outlineLevel="0" collapsed="false">
      <c r="A1" s="24" t="s">
        <v>77</v>
      </c>
      <c r="B1" s="24" t="s">
        <v>37</v>
      </c>
      <c r="C1" s="24" t="s">
        <v>38</v>
      </c>
      <c r="D1" s="24" t="s">
        <v>78</v>
      </c>
      <c r="E1" s="24" t="s">
        <v>71</v>
      </c>
      <c r="F1" s="24" t="s">
        <v>79</v>
      </c>
      <c r="G1" s="24" t="s">
        <v>80</v>
      </c>
      <c r="H1" s="24" t="s">
        <v>81</v>
      </c>
      <c r="I1" s="24" t="s">
        <v>73</v>
      </c>
    </row>
    <row r="2" customFormat="false" ht="15" hidden="false" customHeight="false" outlineLevel="0" collapsed="false">
      <c r="A2" s="25" t="s">
        <v>82</v>
      </c>
      <c r="B2" s="25" t="s">
        <v>60</v>
      </c>
      <c r="C2" s="25" t="s">
        <v>61</v>
      </c>
      <c r="D2" s="26" t="n">
        <v>46235</v>
      </c>
      <c r="E2" s="25" t="n">
        <v>25</v>
      </c>
      <c r="F2" s="14" t="n">
        <f aca="false">EDATE(D2,INDEX(Settings!$D$2:$D$9,MATCH(C2,Settings!$B$2:$B$9,0)))</f>
        <v>46327</v>
      </c>
      <c r="G2" s="26"/>
      <c r="H2" s="14" t="n">
        <f aca="false">IF(G2="",F2,G2)</f>
        <v>46327</v>
      </c>
      <c r="I2" s="25"/>
    </row>
    <row r="3" customFormat="false" ht="15" hidden="false" customHeight="false" outlineLevel="0" collapsed="false">
      <c r="A3" s="25" t="s">
        <v>83</v>
      </c>
      <c r="B3" s="25" t="s">
        <v>60</v>
      </c>
      <c r="C3" s="25" t="s">
        <v>61</v>
      </c>
      <c r="D3" s="26" t="n">
        <v>46266</v>
      </c>
      <c r="E3" s="25" t="n">
        <v>29</v>
      </c>
      <c r="F3" s="14" t="n">
        <f aca="false">EDATE(D3,INDEX(Settings!$D$2:$D$9,MATCH(C3,Settings!$B$2:$B$9,0)))</f>
        <v>46357</v>
      </c>
      <c r="G3" s="26"/>
      <c r="H3" s="14" t="n">
        <f aca="false">IF(G3="",F3,G3)</f>
        <v>46357</v>
      </c>
      <c r="I3" s="25"/>
    </row>
    <row r="4" customFormat="false" ht="15" hidden="false" customHeight="false" outlineLevel="0" collapsed="false">
      <c r="A4" s="25" t="s">
        <v>84</v>
      </c>
      <c r="B4" s="25" t="s">
        <v>60</v>
      </c>
      <c r="C4" s="25" t="s">
        <v>61</v>
      </c>
      <c r="D4" s="26" t="n">
        <v>46296</v>
      </c>
      <c r="E4" s="25" t="n">
        <v>26</v>
      </c>
      <c r="F4" s="14" t="n">
        <f aca="false">EDATE(D4,INDEX(Settings!$D$2:$D$9,MATCH(C4,Settings!$B$2:$B$9,0)))</f>
        <v>46388</v>
      </c>
      <c r="G4" s="26"/>
      <c r="H4" s="14" t="n">
        <f aca="false">IF(G4="",F4,G4)</f>
        <v>46388</v>
      </c>
      <c r="I4" s="25"/>
    </row>
    <row r="5" customFormat="false" ht="15" hidden="false" customHeight="false" outlineLevel="0" collapsed="false">
      <c r="A5" s="25" t="s">
        <v>85</v>
      </c>
      <c r="B5" s="25" t="s">
        <v>60</v>
      </c>
      <c r="C5" s="25" t="s">
        <v>62</v>
      </c>
      <c r="D5" s="26" t="n">
        <v>46235</v>
      </c>
      <c r="E5" s="25" t="n">
        <v>35</v>
      </c>
      <c r="F5" s="14" t="n">
        <f aca="false">EDATE(D5,INDEX(Settings!$D$2:$D$9,MATCH(C5,Settings!$B$2:$B$9,0)))</f>
        <v>46327</v>
      </c>
      <c r="G5" s="26"/>
      <c r="H5" s="14" t="n">
        <f aca="false">IF(G5="",F5,G5)</f>
        <v>46327</v>
      </c>
      <c r="I5" s="25"/>
    </row>
    <row r="6" customFormat="false" ht="15" hidden="false" customHeight="false" outlineLevel="0" collapsed="false">
      <c r="A6" s="25" t="s">
        <v>86</v>
      </c>
      <c r="B6" s="25" t="s">
        <v>60</v>
      </c>
      <c r="C6" s="25" t="s">
        <v>62</v>
      </c>
      <c r="D6" s="26" t="n">
        <v>46266</v>
      </c>
      <c r="E6" s="25" t="n">
        <v>40</v>
      </c>
      <c r="F6" s="14" t="n">
        <f aca="false">EDATE(D6,INDEX(Settings!$D$2:$D$9,MATCH(C6,Settings!$B$2:$B$9,0)))</f>
        <v>46357</v>
      </c>
      <c r="G6" s="26"/>
      <c r="H6" s="14" t="n">
        <f aca="false">IF(G6="",F6,G6)</f>
        <v>46357</v>
      </c>
      <c r="I6" s="25"/>
    </row>
    <row r="7" customFormat="false" ht="15" hidden="false" customHeight="false" outlineLevel="0" collapsed="false">
      <c r="A7" s="25" t="s">
        <v>87</v>
      </c>
      <c r="B7" s="25" t="s">
        <v>60</v>
      </c>
      <c r="C7" s="25" t="s">
        <v>62</v>
      </c>
      <c r="D7" s="26" t="n">
        <v>46296</v>
      </c>
      <c r="E7" s="25" t="n">
        <v>37</v>
      </c>
      <c r="F7" s="14" t="n">
        <f aca="false">EDATE(D7,INDEX(Settings!$D$2:$D$9,MATCH(C7,Settings!$B$2:$B$9,0)))</f>
        <v>46388</v>
      </c>
      <c r="G7" s="26" t="n">
        <v>46357</v>
      </c>
      <c r="H7" s="14" t="n">
        <f aca="false">IF(G7="",F7,G7)</f>
        <v>46357</v>
      </c>
      <c r="I7" s="25" t="s">
        <v>88</v>
      </c>
    </row>
    <row r="8" customFormat="false" ht="15" hidden="false" customHeight="false" outlineLevel="0" collapsed="false">
      <c r="A8" s="25" t="s">
        <v>89</v>
      </c>
      <c r="B8" s="25" t="s">
        <v>60</v>
      </c>
      <c r="C8" s="25" t="s">
        <v>63</v>
      </c>
      <c r="D8" s="26" t="n">
        <v>46235</v>
      </c>
      <c r="E8" s="25" t="n">
        <v>20</v>
      </c>
      <c r="F8" s="14" t="n">
        <f aca="false">EDATE(D8,INDEX(Settings!$D$2:$D$9,MATCH(C8,Settings!$B$2:$B$9,0)))</f>
        <v>46327</v>
      </c>
      <c r="G8" s="26"/>
      <c r="H8" s="14" t="n">
        <f aca="false">IF(G8="",F8,G8)</f>
        <v>46327</v>
      </c>
      <c r="I8" s="25"/>
    </row>
    <row r="9" customFormat="false" ht="15" hidden="false" customHeight="false" outlineLevel="0" collapsed="false">
      <c r="A9" s="25" t="s">
        <v>90</v>
      </c>
      <c r="B9" s="25" t="s">
        <v>60</v>
      </c>
      <c r="C9" s="25" t="s">
        <v>63</v>
      </c>
      <c r="D9" s="26" t="n">
        <v>46266</v>
      </c>
      <c r="E9" s="25" t="n">
        <v>23</v>
      </c>
      <c r="F9" s="14" t="n">
        <f aca="false">EDATE(D9,INDEX(Settings!$D$2:$D$9,MATCH(C9,Settings!$B$2:$B$9,0)))</f>
        <v>46357</v>
      </c>
      <c r="G9" s="26"/>
      <c r="H9" s="14" t="n">
        <f aca="false">IF(G9="",F9,G9)</f>
        <v>46357</v>
      </c>
      <c r="I9" s="25"/>
    </row>
    <row r="10" customFormat="false" ht="15" hidden="false" customHeight="false" outlineLevel="0" collapsed="false">
      <c r="A10" s="25" t="s">
        <v>91</v>
      </c>
      <c r="B10" s="25" t="s">
        <v>60</v>
      </c>
      <c r="C10" s="25" t="s">
        <v>63</v>
      </c>
      <c r="D10" s="26" t="n">
        <v>46296</v>
      </c>
      <c r="E10" s="25" t="n">
        <v>21</v>
      </c>
      <c r="F10" s="14" t="n">
        <f aca="false">EDATE(D10,INDEX(Settings!$D$2:$D$9,MATCH(C10,Settings!$B$2:$B$9,0)))</f>
        <v>46388</v>
      </c>
      <c r="G10" s="26"/>
      <c r="H10" s="14" t="n">
        <f aca="false">IF(G10="",F10,G10)</f>
        <v>46388</v>
      </c>
      <c r="I10" s="25"/>
    </row>
    <row r="11" customFormat="false" ht="15" hidden="false" customHeight="false" outlineLevel="0" collapsed="false">
      <c r="A11" s="25" t="s">
        <v>92</v>
      </c>
      <c r="B11" s="25" t="s">
        <v>64</v>
      </c>
      <c r="C11" s="25" t="s">
        <v>65</v>
      </c>
      <c r="D11" s="26" t="n">
        <v>46235</v>
      </c>
      <c r="E11" s="25" t="n">
        <v>6</v>
      </c>
      <c r="F11" s="14" t="n">
        <f aca="false">EDATE(D11,INDEX(Settings!$D$2:$D$9,MATCH(C11,Settings!$B$2:$B$9,0)))</f>
        <v>46327</v>
      </c>
      <c r="G11" s="26"/>
      <c r="H11" s="14" t="n">
        <f aca="false">IF(G11="",F11,G11)</f>
        <v>46327</v>
      </c>
      <c r="I11" s="25"/>
    </row>
    <row r="12" customFormat="false" ht="15" hidden="false" customHeight="false" outlineLevel="0" collapsed="false">
      <c r="A12" s="25" t="s">
        <v>93</v>
      </c>
      <c r="B12" s="25" t="s">
        <v>64</v>
      </c>
      <c r="C12" s="25" t="s">
        <v>65</v>
      </c>
      <c r="D12" s="26" t="n">
        <v>46266</v>
      </c>
      <c r="E12" s="25" t="n">
        <v>7</v>
      </c>
      <c r="F12" s="14" t="n">
        <f aca="false">EDATE(D12,INDEX(Settings!$D$2:$D$9,MATCH(C12,Settings!$B$2:$B$9,0)))</f>
        <v>46357</v>
      </c>
      <c r="G12" s="26"/>
      <c r="H12" s="14" t="n">
        <f aca="false">IF(G12="",F12,G12)</f>
        <v>46357</v>
      </c>
      <c r="I12" s="25"/>
    </row>
    <row r="13" customFormat="false" ht="15" hidden="false" customHeight="false" outlineLevel="0" collapsed="false">
      <c r="A13" s="25" t="s">
        <v>94</v>
      </c>
      <c r="B13" s="25" t="s">
        <v>64</v>
      </c>
      <c r="C13" s="25" t="s">
        <v>65</v>
      </c>
      <c r="D13" s="26" t="n">
        <v>46296</v>
      </c>
      <c r="E13" s="25" t="n">
        <v>6</v>
      </c>
      <c r="F13" s="14" t="n">
        <f aca="false">EDATE(D13,INDEX(Settings!$D$2:$D$9,MATCH(C13,Settings!$B$2:$B$9,0)))</f>
        <v>46388</v>
      </c>
      <c r="G13" s="26"/>
      <c r="H13" s="14" t="n">
        <f aca="false">IF(G13="",F13,G13)</f>
        <v>46388</v>
      </c>
      <c r="I13" s="25"/>
    </row>
    <row r="14" customFormat="false" ht="15" hidden="false" customHeight="false" outlineLevel="0" collapsed="false">
      <c r="A14" s="25" t="s">
        <v>95</v>
      </c>
      <c r="B14" s="25" t="s">
        <v>64</v>
      </c>
      <c r="C14" s="25" t="s">
        <v>66</v>
      </c>
      <c r="D14" s="26" t="n">
        <v>46235</v>
      </c>
      <c r="E14" s="25" t="n">
        <v>10</v>
      </c>
      <c r="F14" s="14" t="n">
        <f aca="false">EDATE(D14,INDEX(Settings!$D$2:$D$9,MATCH(C14,Settings!$B$2:$B$9,0)))</f>
        <v>46327</v>
      </c>
      <c r="G14" s="26"/>
      <c r="H14" s="14" t="n">
        <f aca="false">IF(G14="",F14,G14)</f>
        <v>46327</v>
      </c>
      <c r="I14" s="25"/>
    </row>
    <row r="15" customFormat="false" ht="15" hidden="false" customHeight="false" outlineLevel="0" collapsed="false">
      <c r="A15" s="25" t="s">
        <v>96</v>
      </c>
      <c r="B15" s="25" t="s">
        <v>64</v>
      </c>
      <c r="C15" s="25" t="s">
        <v>66</v>
      </c>
      <c r="D15" s="26" t="n">
        <v>46266</v>
      </c>
      <c r="E15" s="25" t="n">
        <v>12</v>
      </c>
      <c r="F15" s="14" t="n">
        <f aca="false">EDATE(D15,INDEX(Settings!$D$2:$D$9,MATCH(C15,Settings!$B$2:$B$9,0)))</f>
        <v>46357</v>
      </c>
      <c r="G15" s="26"/>
      <c r="H15" s="14" t="n">
        <f aca="false">IF(G15="",F15,G15)</f>
        <v>46357</v>
      </c>
      <c r="I15" s="25"/>
    </row>
    <row r="16" customFormat="false" ht="15" hidden="false" customHeight="false" outlineLevel="0" collapsed="false">
      <c r="A16" s="25" t="s">
        <v>97</v>
      </c>
      <c r="B16" s="25" t="s">
        <v>64</v>
      </c>
      <c r="C16" s="25" t="s">
        <v>66</v>
      </c>
      <c r="D16" s="26" t="n">
        <v>46296</v>
      </c>
      <c r="E16" s="25" t="n">
        <v>10</v>
      </c>
      <c r="F16" s="14" t="n">
        <f aca="false">EDATE(D16,INDEX(Settings!$D$2:$D$9,MATCH(C16,Settings!$B$2:$B$9,0)))</f>
        <v>46388</v>
      </c>
      <c r="G16" s="26"/>
      <c r="H16" s="14" t="n">
        <f aca="false">IF(G16="",F16,G16)</f>
        <v>46388</v>
      </c>
      <c r="I16" s="25"/>
    </row>
    <row r="17" customFormat="false" ht="15" hidden="false" customHeight="false" outlineLevel="0" collapsed="false">
      <c r="A17" s="25" t="s">
        <v>98</v>
      </c>
      <c r="B17" s="25" t="s">
        <v>64</v>
      </c>
      <c r="C17" s="25" t="s">
        <v>67</v>
      </c>
      <c r="D17" s="26" t="n">
        <v>46235</v>
      </c>
      <c r="E17" s="25" t="n">
        <v>8</v>
      </c>
      <c r="F17" s="14" t="n">
        <f aca="false">EDATE(D17,INDEX(Settings!$D$2:$D$9,MATCH(C17,Settings!$B$2:$B$9,0)))</f>
        <v>46327</v>
      </c>
      <c r="G17" s="26"/>
      <c r="H17" s="14" t="n">
        <f aca="false">IF(G17="",F17,G17)</f>
        <v>46327</v>
      </c>
      <c r="I17" s="25"/>
    </row>
    <row r="18" customFormat="false" ht="15" hidden="false" customHeight="false" outlineLevel="0" collapsed="false">
      <c r="A18" s="25" t="s">
        <v>99</v>
      </c>
      <c r="B18" s="25" t="s">
        <v>64</v>
      </c>
      <c r="C18" s="25" t="s">
        <v>67</v>
      </c>
      <c r="D18" s="26" t="n">
        <v>46266</v>
      </c>
      <c r="E18" s="25" t="n">
        <v>9</v>
      </c>
      <c r="F18" s="14" t="n">
        <f aca="false">EDATE(D18,INDEX(Settings!$D$2:$D$9,MATCH(C18,Settings!$B$2:$B$9,0)))</f>
        <v>46357</v>
      </c>
      <c r="G18" s="26"/>
      <c r="H18" s="14" t="n">
        <f aca="false">IF(G18="",F18,G18)</f>
        <v>46357</v>
      </c>
      <c r="I18" s="25"/>
    </row>
    <row r="19" customFormat="false" ht="15" hidden="false" customHeight="false" outlineLevel="0" collapsed="false">
      <c r="A19" s="25" t="s">
        <v>100</v>
      </c>
      <c r="B19" s="25" t="s">
        <v>64</v>
      </c>
      <c r="C19" s="25" t="s">
        <v>67</v>
      </c>
      <c r="D19" s="26" t="n">
        <v>46296</v>
      </c>
      <c r="E19" s="25" t="n">
        <v>8</v>
      </c>
      <c r="F19" s="14" t="n">
        <f aca="false">EDATE(D19,INDEX(Settings!$D$2:$D$9,MATCH(C19,Settings!$B$2:$B$9,0)))</f>
        <v>46388</v>
      </c>
      <c r="G19" s="26"/>
      <c r="H19" s="14" t="n">
        <f aca="false">IF(G19="",F19,G19)</f>
        <v>46388</v>
      </c>
      <c r="I19" s="25"/>
    </row>
    <row r="20" customFormat="false" ht="15" hidden="false" customHeight="false" outlineLevel="0" collapsed="false">
      <c r="A20" s="25" t="s">
        <v>101</v>
      </c>
      <c r="B20" s="25" t="s">
        <v>64</v>
      </c>
      <c r="C20" s="25" t="s">
        <v>68</v>
      </c>
      <c r="D20" s="26" t="n">
        <v>46235</v>
      </c>
      <c r="E20" s="25" t="n">
        <v>10</v>
      </c>
      <c r="F20" s="14" t="n">
        <f aca="false">EDATE(D20,INDEX(Settings!$D$2:$D$9,MATCH(C20,Settings!$B$2:$B$9,0)))</f>
        <v>46327</v>
      </c>
      <c r="G20" s="26" t="n">
        <v>46327</v>
      </c>
      <c r="H20" s="14" t="n">
        <f aca="false">IF(G20="",F20,G20)</f>
        <v>46327</v>
      </c>
      <c r="I20" s="25" t="s">
        <v>102</v>
      </c>
    </row>
    <row r="21" customFormat="false" ht="15" hidden="false" customHeight="false" outlineLevel="0" collapsed="false">
      <c r="A21" s="25" t="s">
        <v>101</v>
      </c>
      <c r="B21" s="25" t="s">
        <v>64</v>
      </c>
      <c r="C21" s="25" t="s">
        <v>68</v>
      </c>
      <c r="D21" s="26" t="n">
        <v>46235</v>
      </c>
      <c r="E21" s="25" t="n">
        <v>5</v>
      </c>
      <c r="F21" s="14" t="n">
        <f aca="false">EDATE(D21,INDEX(Settings!$D$2:$D$9,MATCH(C21,Settings!$B$2:$B$9,0)))</f>
        <v>46327</v>
      </c>
      <c r="G21" s="26" t="n">
        <v>46388</v>
      </c>
      <c r="H21" s="14" t="n">
        <f aca="false">IF(G21="",F21,G21)</f>
        <v>46388</v>
      </c>
      <c r="I21" s="25" t="s">
        <v>103</v>
      </c>
    </row>
    <row r="22" customFormat="false" ht="15" hidden="false" customHeight="false" outlineLevel="0" collapsed="false">
      <c r="A22" s="25" t="s">
        <v>104</v>
      </c>
      <c r="B22" s="25" t="s">
        <v>64</v>
      </c>
      <c r="C22" s="25" t="s">
        <v>68</v>
      </c>
      <c r="D22" s="26" t="n">
        <v>46266</v>
      </c>
      <c r="E22" s="25" t="n">
        <v>8</v>
      </c>
      <c r="F22" s="14" t="n">
        <f aca="false">EDATE(D22,INDEX(Settings!$D$2:$D$9,MATCH(C22,Settings!$B$2:$B$9,0)))</f>
        <v>46357</v>
      </c>
      <c r="G22" s="26"/>
      <c r="H22" s="14" t="n">
        <f aca="false">IF(G22="",F22,G22)</f>
        <v>46357</v>
      </c>
      <c r="I22" s="25"/>
    </row>
    <row r="23" customFormat="false" ht="15" hidden="false" customHeight="false" outlineLevel="0" collapsed="false">
      <c r="A23" s="25" t="s">
        <v>105</v>
      </c>
      <c r="B23" s="25" t="s">
        <v>64</v>
      </c>
      <c r="C23" s="25" t="s">
        <v>68</v>
      </c>
      <c r="D23" s="26" t="n">
        <v>46296</v>
      </c>
      <c r="E23" s="25" t="n">
        <v>7</v>
      </c>
      <c r="F23" s="14" t="n">
        <f aca="false">EDATE(D23,INDEX(Settings!$D$2:$D$9,MATCH(C23,Settings!$B$2:$B$9,0)))</f>
        <v>46388</v>
      </c>
      <c r="G23" s="26"/>
      <c r="H23" s="14" t="n">
        <f aca="false">IF(G23="",F23,G23)</f>
        <v>46388</v>
      </c>
      <c r="I23" s="25"/>
    </row>
    <row r="24" customFormat="false" ht="15" hidden="false" customHeight="false" outlineLevel="0" collapsed="false">
      <c r="A24" s="25" t="s">
        <v>106</v>
      </c>
      <c r="B24" s="25" t="s">
        <v>64</v>
      </c>
      <c r="C24" s="25" t="s">
        <v>69</v>
      </c>
      <c r="D24" s="26" t="n">
        <v>46235</v>
      </c>
      <c r="E24" s="25" t="n">
        <v>4</v>
      </c>
      <c r="F24" s="14" t="n">
        <f aca="false">EDATE(D24,INDEX(Settings!$D$2:$D$9,MATCH(C24,Settings!$B$2:$B$9,0)))</f>
        <v>46327</v>
      </c>
      <c r="G24" s="26"/>
      <c r="H24" s="14" t="n">
        <f aca="false">IF(G24="",F24,G24)</f>
        <v>46327</v>
      </c>
      <c r="I24" s="25"/>
    </row>
    <row r="25" customFormat="false" ht="15" hidden="false" customHeight="false" outlineLevel="0" collapsed="false">
      <c r="A25" s="25" t="s">
        <v>107</v>
      </c>
      <c r="B25" s="25" t="s">
        <v>64</v>
      </c>
      <c r="C25" s="25" t="s">
        <v>69</v>
      </c>
      <c r="D25" s="26" t="n">
        <v>46266</v>
      </c>
      <c r="E25" s="25" t="n">
        <v>5</v>
      </c>
      <c r="F25" s="14" t="n">
        <f aca="false">EDATE(D25,INDEX(Settings!$D$2:$D$9,MATCH(C25,Settings!$B$2:$B$9,0)))</f>
        <v>46357</v>
      </c>
      <c r="G25" s="26" t="n">
        <v>46447</v>
      </c>
      <c r="H25" s="14" t="n">
        <f aca="false">IF(G25="",F25,G25)</f>
        <v>46447</v>
      </c>
      <c r="I25" s="25" t="s">
        <v>108</v>
      </c>
    </row>
    <row r="26" customFormat="false" ht="15" hidden="false" customHeight="false" outlineLevel="0" collapsed="false">
      <c r="A26" s="25" t="s">
        <v>109</v>
      </c>
      <c r="B26" s="25" t="s">
        <v>64</v>
      </c>
      <c r="C26" s="25" t="s">
        <v>69</v>
      </c>
      <c r="D26" s="26" t="n">
        <v>46296</v>
      </c>
      <c r="E26" s="25" t="n">
        <v>4</v>
      </c>
      <c r="F26" s="14" t="n">
        <f aca="false">EDATE(D26,INDEX(Settings!$D$2:$D$9,MATCH(C26,Settings!$B$2:$B$9,0)))</f>
        <v>46388</v>
      </c>
      <c r="G26" s="26"/>
      <c r="H26" s="14" t="n">
        <f aca="false">IF(G26="",F26,G26)</f>
        <v>46388</v>
      </c>
      <c r="I26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2026-10-28T22:41:46Z</dcterms:created>
  <dc:creator>openpyxl</dc:creator>
  <dc:description/>
  <dc:language>en-US</dc:language>
  <cp:lastModifiedBy/>
  <dcterms:modified xsi:type="dcterms:W3CDTF">2026-10-28T22:41:46Z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